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lanning Po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Release = incremento de negócio (não segue a ordem de Prioridade).
R1 – MVP de consumo: cadastro, perfil e feed por indústria, busca de IOC/TTP/ofensor, monitoramento diário e pedido de verificação. Valida a dor central e ativa usuários.
R2 – Comunidade e confiança: publicação com TLP, compartilhamento controlado, privacidade, denúncia de conteúdo, alertas e itens salvos. Liga o efeito de rede já com moderação.
R3 – Integração e monetização: API/integração, exportação STIX/TAXII, contribuição em publicações, contato entre verificados, acompanhamento e visão executiva. Depende do volume de conteúdo e da base de verificados das releases anteriores.
Blocos de iteração: R1 = it. 1–2 · R2 = it. 3 · R3 = it. 4–5.</t>
        </r>
      </text>
    </comment>
    <comment ref="G5" authorId="0">
      <text>
        <r>
          <rPr>
            <sz val="10"/>
            <rFont val="Arial"/>
            <family val="2"/>
          </rPr>
          <t xml:space="preserve">Pontuação = Planning Poker (Fibonacci: 1, 2, 3, 5, 8, 13, 21). Histórias acima de 13 foram quebradas (J1 → 1.1–1.3 e J2 → 2.1–2.3). Estimativas, quebra e ordem de construção na aba 'Planning Poker'.</t>
        </r>
      </text>
    </comment>
  </commentList>
</comments>
</file>

<file path=xl/sharedStrings.xml><?xml version="1.0" encoding="utf-8"?>
<sst xmlns="http://schemas.openxmlformats.org/spreadsheetml/2006/main" count="241" uniqueCount="128">
  <si>
    <t xml:space="preserve">Nome do Projeto: CTHFeedTactics</t>
  </si>
  <si>
    <t xml:space="preserve">CTHFeedTactics</t>
  </si>
  <si>
    <t xml:space="preserve">Équipe: CHTFeedTactics</t>
  </si>
  <si>
    <t xml:space="preserve">Leonardo Oliveira / 2523546; Lucas Silva / 2422728; João Gabriel de Holanda / 2522687</t>
  </si>
  <si>
    <t xml:space="preserve">Histórias</t>
  </si>
  <si>
    <t xml:space="preserve">Valor de Negócio</t>
  </si>
  <si>
    <t xml:space="preserve">Risco</t>
  </si>
  <si>
    <t xml:space="preserve">Quadrante</t>
  </si>
  <si>
    <t xml:space="preserve">Prioridade</t>
  </si>
  <si>
    <t xml:space="preserve">Release</t>
  </si>
  <si>
    <t xml:space="preserve">Pontuação</t>
  </si>
  <si>
    <t xml:space="preserve">Iteração</t>
  </si>
  <si>
    <t xml:space="preserve">Jornada 1.2 — Enzo: pesquisar IOC com contexto setorial e filtros</t>
  </si>
  <si>
    <t xml:space="preserve">A</t>
  </si>
  <si>
    <t xml:space="preserve">Jornada 1.3 — Enzo: consultar a reputação do IOC em feeds reputacionais</t>
  </si>
  <si>
    <t xml:space="preserve">Jornada 2.2 — Paulo: consumir IOCs via API com filtros setoriais</t>
  </si>
  <si>
    <t xml:space="preserve">Jornada 2.3 — Paulo: ingerir inteligência em STIX/TAXII no pipeline interno</t>
  </si>
  <si>
    <t xml:space="preserve">Jornada 3 — Edgar: acompanhamento setorial e compartilhamento controlado</t>
  </si>
  <si>
    <t xml:space="preserve">Jornada 7 — Marina: pesquisar e correlacionar um IOC</t>
  </si>
  <si>
    <t xml:space="preserve">Jornada 12 — Edgar: solicitar verificação da conta</t>
  </si>
  <si>
    <t xml:space="preserve">Jornada 13 — Marina: controlar privacidade das informações profissionais</t>
  </si>
  <si>
    <t xml:space="preserve">Jornada 14 — Edgar: publicar inteligência com classificação de compartilhamento</t>
  </si>
  <si>
    <t xml:space="preserve">Jornada 15 — Paulo: exportar inteligência para ferramentas externas</t>
  </si>
  <si>
    <t xml:space="preserve">Jornada 19 — Paulo: contribuir com novos IOCs para publicação existente</t>
  </si>
  <si>
    <t xml:space="preserve">Jornada 20 — Marina: reportar informação incorreta ou suspeita</t>
  </si>
  <si>
    <t xml:space="preserve">Jornada 1.1 — Enzo: visualizar o feed setorial e os detalhes do ataque</t>
  </si>
  <si>
    <t xml:space="preserve">B</t>
  </si>
  <si>
    <t xml:space="preserve">Jornada 2.1 — Paulo: acessar a área de integrações e gerar credenciais</t>
  </si>
  <si>
    <t xml:space="preserve">Jornada 4 — Rafael: monitoramento diário de ameaças relevantes</t>
  </si>
  <si>
    <t xml:space="preserve">Jornada 6 — Rafael: configurar perfil e personalizar feed por indústria</t>
  </si>
  <si>
    <t xml:space="preserve">Jornada 8 — Enzo: entender uma TTP observada em um alerta</t>
  </si>
  <si>
    <t xml:space="preserve">Jornada 10 — Rafael: receber alerta sobre nova ameaça setorial</t>
  </si>
  <si>
    <t xml:space="preserve">Jornada 16 — Enzo: filtrar o feed para encontrar ameaças recentes</t>
  </si>
  <si>
    <t xml:space="preserve">Jornada 18 — Edgar: obter visão executiva das ameaças do setor</t>
  </si>
  <si>
    <t xml:space="preserve">Jornada 5 — Marina: localizar e contatar profissional verificado</t>
  </si>
  <si>
    <t xml:space="preserve">Jornada 9 — Paulo: analisar um ofensor ativo contra sua indústria</t>
  </si>
  <si>
    <t xml:space="preserve">Jornada 11 — Marina: salvar ameaças para investigação posterior</t>
  </si>
  <si>
    <t xml:space="preserve">Jornada 17 — Marina: acompanhar novas informações de ameaça investigada</t>
  </si>
  <si>
    <t xml:space="preserve">Planning Poker — CTHFeedTactics</t>
  </si>
  <si>
    <t xml:space="preserve">Escala Fibonacci: 1, 2, 3, 5, 8, 13, 21. Quanto maior a pontuação, mais complexa a história. História acima de 13 pontos é quebrada em funcionalidades menores antes de entrar em uma iteração.</t>
  </si>
  <si>
    <t xml:space="preserve">História de referência: Jornada 11 (salvar ameaça) = 2 pontos. As demais foram estimadas por comparação com ela e entre si, dentro de cada release.</t>
  </si>
  <si>
    <t xml:space="preserve">Funcionalidades repetidas entre jornadas (cadastro, feed, busca, reputação, conversor STIX) foram pontuadas uma vez só, na história que as constrói primeiro. As histórias seguintes contam apenas o que falta construir.</t>
  </si>
  <si>
    <t xml:space="preserve">Pontuação anterior = valores da versão anterior desta planilha. As pontuações da aba Sheet1 são a fonte; as colunas com fórmula nesta aba buscam os valores de lá.</t>
  </si>
  <si>
    <t xml:space="preserve">Capacidade assumida por iteração (pontos):</t>
  </si>
  <si>
    <t xml:space="preserve">Premissa da equipe. Ajustar depois de medir a velocidade real da iteração 1.</t>
  </si>
  <si>
    <t xml:space="preserve">1. Estimativa por release (comparação entre as histórias)</t>
  </si>
  <si>
    <t xml:space="preserve">História</t>
  </si>
  <si>
    <t xml:space="preserve">Pontuação anterior</t>
  </si>
  <si>
    <t xml:space="preserve">Planning Poker</t>
  </si>
  <si>
    <t xml:space="preserve">Comparação com outras histórias</t>
  </si>
  <si>
    <t xml:space="preserve">Decisão</t>
  </si>
  <si>
    <t xml:space="preserve">Jornada 1 — Enzo: cadastro, consulta e triagem contextualizada de alerta</t>
  </si>
  <si>
    <t xml:space="preserve">Junta feed, busca com filtros e consulta a feed reputacional externo. Equivale à J6 + J12 + J8 somadas.</t>
  </si>
  <si>
    <t xml:space="preserve">Cadastro com confirmação de e-mail, login e perfil com indústria. Inclui o passo 1 da J1, por isso foi pontuado só aqui.</t>
  </si>
  <si>
    <t xml:space="preserve">Mesmo porte da J6: formulário, acompanhamento do status e a análise da solicitação do lado administrativo, que a jornada não mostra.</t>
  </si>
  <si>
    <t xml:space="preserve">Página nova de TTP e carga do catálogo MITRE ATT&amp;CK. Maior que J7 e J9, menor que J6.</t>
  </si>
  <si>
    <t xml:space="preserve">Busca e reputação já vêm da J1; sobra relacionar o IOC a campanhas, ofensores e publicações anteriores.</t>
  </si>
  <si>
    <t xml:space="preserve">Mesmo padrão de página da J8, aplicado ao ofensor.</t>
  </si>
  <si>
    <t xml:space="preserve">Reaproveita os filtros da J1.2, agora aplicados ao feed.</t>
  </si>
  <si>
    <t xml:space="preserve">Feed e detalhes já existem na J1; sobra copiar e compartilhar o link. Mesmo porte da J11 (referência).</t>
  </si>
  <si>
    <t xml:space="preserve">Formulário de publicação e pré-validação dos IOCs, reaproveitando a consulta reputacional da J1.3.</t>
  </si>
  <si>
    <t xml:space="preserve">Mesmo porte da J3: escolha do TLP e aplicação das regras de visibilidade no feed, na busca e nos detalhes.</t>
  </si>
  <si>
    <t xml:space="preserve">Preferências de notificação, disparo por indústria e envio de e-mail (o envio já existe desde a J6).</t>
  </si>
  <si>
    <t xml:space="preserve">Botão de denúncia com motivo e fila de moderação. Mesmo porte da J10.</t>
  </si>
  <si>
    <t xml:space="preserve">Tela de configuração de quais contatos ficam visíveis; sem regra de negócio complexa.</t>
  </si>
  <si>
    <t xml:space="preserve">História de referência: salvar e listar itens.</t>
  </si>
  <si>
    <t xml:space="preserve">Jornada 2 — Paulo: acompanhamento e integração da inteligência setorial</t>
  </si>
  <si>
    <t xml:space="preserve">Área de credenciais, API REST e coleção STIX/TAXII. Duas dessas partes têm, cada uma, o porte da J19.</t>
  </si>
  <si>
    <t xml:space="preserve">Maior história mantida: agregações por período, tendências, gráficos e navegação até a publicação. Se a equipe votar acima de 13, separar tendências do painel de ameaças recentes.</t>
  </si>
  <si>
    <t xml:space="preserve">Fluxo de contribuição com revisão e histórico de alterações, que a J17 usa depois.</t>
  </si>
  <si>
    <t xml:space="preserve">Diretório com filtro e perfil verificado; a privacidade já vem da J13.</t>
  </si>
  <si>
    <t xml:space="preserve">O conversor STIX vem da J2.3; sobra selecionar os dados e gerar o arquivo.</t>
  </si>
  <si>
    <t xml:space="preserve">Precisa registrar o histórico de consultas e destacar o que mudou desde a última visita.</t>
  </si>
  <si>
    <t xml:space="preserve">2. Quebra das histórias acima de 13 pontos</t>
  </si>
  <si>
    <t xml:space="preserve">Épico</t>
  </si>
  <si>
    <t xml:space="preserve">Sub-história</t>
  </si>
  <si>
    <t xml:space="preserve">Passos da jornada cobertos</t>
  </si>
  <si>
    <t xml:space="preserve">Pontos</t>
  </si>
  <si>
    <t xml:space="preserve">J1 (21)</t>
  </si>
  <si>
    <t xml:space="preserve">Passo 3 (feed setorial) e a página de detalhes do ataque, do ofensor e das TTPs citada no passo 5.</t>
  </si>
  <si>
    <t xml:space="preserve">Passos 4 e 5: busca do IOC, ocorrências no setor e filtros por indústria, tipo de IOC e período.</t>
  </si>
  <si>
    <t xml:space="preserve">Verificação de reputação: integração com feed reputacional externo, com controle do limite de consultas.</t>
  </si>
  <si>
    <t xml:space="preserve">Total J1 após a quebra</t>
  </si>
  <si>
    <t xml:space="preserve">Passo 1 (cadastro) já está pontuado na J6. Passos 2 e 6 acontecem no SIEM e não geram construção.</t>
  </si>
  <si>
    <t xml:space="preserve">J2 (21)</t>
  </si>
  <si>
    <t xml:space="preserve">Passo 4: área de integrações, documentação e geração ou revogação de credenciais.</t>
  </si>
  <si>
    <t xml:space="preserve">Passos 5 e 6: API REST com filtros por indústria, tipo e período, respeitando o TLP.</t>
  </si>
  <si>
    <t xml:space="preserve">Passo 5: conversão para STIX 2.1 e coleção TAXII para MISP, OpenCTI, SIEM ou SOAR.</t>
  </si>
  <si>
    <t xml:space="preserve">Total J2 após a quebra</t>
  </si>
  <si>
    <t xml:space="preserve">Passos 1 a 3 reaproveitam feed, filtros e busca do R1.</t>
  </si>
  <si>
    <t xml:space="preserve">3. Ordem de construção (Scrum)</t>
  </si>
  <si>
    <t xml:space="preserve">Ordem</t>
  </si>
  <si>
    <t xml:space="preserve">Por que nessa posição</t>
  </si>
  <si>
    <t xml:space="preserve">Fundação: sem conta e indústria nenhuma outra jornada funciona. Prioridade baixa, mas é dependência de todas.</t>
  </si>
  <si>
    <t xml:space="preserve">Feed e página de detalhes são reaproveitados por quase todas as jornadas.</t>
  </si>
  <si>
    <t xml:space="preserve">Núcleo da triagem (prioridade 1); depende do feed e do modelo de IOC.</t>
  </si>
  <si>
    <t xml:space="preserve">Maior risco técnico do R1 (API externa e limite de consultas). Entra cedo para reduzir o risco.</t>
  </si>
  <si>
    <t xml:space="preserve">Correlação construída sobre a busca da J1.2.</t>
  </si>
  <si>
    <t xml:space="preserve">A análise é manual e demora; a fila de verificados precisa abrir antes do R2.</t>
  </si>
  <si>
    <t xml:space="preserve">Fecha a rotina de monitoramento com o compartilhamento de link.</t>
  </si>
  <si>
    <t xml:space="preserve">Página de TTP; define o padrão de página reaproveitado pela J9.</t>
  </si>
  <si>
    <t xml:space="preserve">Filtros no feed, reaproveitando os da J1.2.</t>
  </si>
  <si>
    <t xml:space="preserve">Página de ofensor no padrão da J8.</t>
  </si>
  <si>
    <t xml:space="preserve">Cria o formulário de publicação e a pré-validação de IOCs.</t>
  </si>
  <si>
    <t xml:space="preserve">Opt-in dos contatos antes do diretório da J5 (R3).</t>
  </si>
  <si>
    <t xml:space="preserve">TLP e regras de visibilidade sobre o formulário da J3.</t>
  </si>
  <si>
    <t xml:space="preserve">Moderação no ar junto com a abertura das publicações.</t>
  </si>
  <si>
    <t xml:space="preserve">Alertas por e-mail de novas publicações do setor.</t>
  </si>
  <si>
    <t xml:space="preserve">Salvar itens; base para a J17.</t>
  </si>
  <si>
    <t xml:space="preserve">Credenciais são pré-requisito da API e do TAXII.</t>
  </si>
  <si>
    <t xml:space="preserve">API REST com filtros e controle por TLP.</t>
  </si>
  <si>
    <t xml:space="preserve">STIX/TAXII sobre a API; cria o conversor usado pela J15.</t>
  </si>
  <si>
    <t xml:space="preserve">Prioridade alta (A/A) e pré-requisito da J17.</t>
  </si>
  <si>
    <t xml:space="preserve">Reaproveita o conversor STIX da J2.3.</t>
  </si>
  <si>
    <t xml:space="preserve">Precisa do volume de dados acumulado nas releases anteriores.</t>
  </si>
  <si>
    <t xml:space="preserve">Diretório com contatos já autorizados na J13.</t>
  </si>
  <si>
    <t xml:space="preserve">Depende da J11 (salvos) e da J19 (novos IOCs nas publicações).</t>
  </si>
  <si>
    <t xml:space="preserve">4. Pontos por iteração e por release</t>
  </si>
  <si>
    <t xml:space="preserve">Uso da capacidade</t>
  </si>
  <si>
    <t xml:space="preserve">Total</t>
  </si>
  <si>
    <t xml:space="preserve">Tema</t>
  </si>
  <si>
    <t xml:space="preserve">Iterações</t>
  </si>
  <si>
    <t xml:space="preserve">MVP de consumo da inteligência setorial</t>
  </si>
  <si>
    <t xml:space="preserve">1–2</t>
  </si>
  <si>
    <t xml:space="preserve">Comunidade, confiança e retenção</t>
  </si>
  <si>
    <t xml:space="preserve">3</t>
  </si>
  <si>
    <t xml:space="preserve">Integração, networking e monetização</t>
  </si>
  <si>
    <t xml:space="preserve">4–5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</si>
</sst>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7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0"/>
      <charset val="1"/>
    </font>
    <font>
      <sz val="10"/>
      <name val="Arial"/>
      <family val="2"/>
    </font>
    <font>
      <b val="true"/>
      <sz val="14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5999"/>
        <bgColor rgb="FF9999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406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5" min="4" style="1" width="13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1"/>
  </cols>
  <sheetData>
    <row r="2" customFormat="false" ht="12" hidden="false" customHeight="true" outlineLevel="0" collapsed="false">
      <c r="A2" s="1" t="s">
        <v>0</v>
      </c>
      <c r="B2" s="2" t="s">
        <v>1</v>
      </c>
      <c r="C2" s="2"/>
      <c r="D2" s="2"/>
      <c r="E2" s="2"/>
      <c r="F2" s="2"/>
      <c r="G2" s="2"/>
      <c r="H2" s="2"/>
    </row>
    <row r="3" customFormat="false" ht="12" hidden="false" customHeight="true" outlineLevel="0" collapsed="false">
      <c r="A3" s="1" t="s">
        <v>2</v>
      </c>
      <c r="B3" s="3" t="s">
        <v>3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customFormat="false" ht="30.75" hidden="false" customHeight="true" outlineLevel="0" collapsed="false">
      <c r="A6" s="5" t="s">
        <v>12</v>
      </c>
      <c r="B6" s="6" t="s">
        <v>13</v>
      </c>
      <c r="C6" s="6" t="s">
        <v>13</v>
      </c>
      <c r="D6" s="7" t="n">
        <f aca="false">IF(B6="A", IF(C6="A", 4, 3), IF(C6="A", 1, 2))</f>
        <v>4</v>
      </c>
      <c r="E6" s="7" t="n">
        <v>1</v>
      </c>
      <c r="F6" s="7" t="n">
        <v>1</v>
      </c>
      <c r="G6" s="7" t="n">
        <v>8</v>
      </c>
      <c r="H6" s="7" t="n">
        <v>1</v>
      </c>
    </row>
    <row r="7" customFormat="false" ht="30.75" hidden="false" customHeight="true" outlineLevel="0" collapsed="false">
      <c r="A7" s="5" t="s">
        <v>14</v>
      </c>
      <c r="B7" s="6" t="s">
        <v>13</v>
      </c>
      <c r="C7" s="6" t="s">
        <v>13</v>
      </c>
      <c r="D7" s="7" t="n">
        <f aca="false">IF(B7="A", IF(C7="A", 4, 3), IF(C7="A", 1, 2))</f>
        <v>4</v>
      </c>
      <c r="E7" s="7" t="n">
        <v>2</v>
      </c>
      <c r="F7" s="7" t="n">
        <v>1</v>
      </c>
      <c r="G7" s="7" t="n">
        <v>8</v>
      </c>
      <c r="H7" s="7" t="n">
        <v>1</v>
      </c>
    </row>
    <row r="8" customFormat="false" ht="30.75" hidden="false" customHeight="true" outlineLevel="0" collapsed="false">
      <c r="A8" s="5" t="s">
        <v>15</v>
      </c>
      <c r="B8" s="6" t="s">
        <v>13</v>
      </c>
      <c r="C8" s="6" t="s">
        <v>13</v>
      </c>
      <c r="D8" s="7" t="n">
        <f aca="false">IF(B8="A", IF(C8="A", 4, 3), IF(C8="A", 1, 2))</f>
        <v>4</v>
      </c>
      <c r="E8" s="7" t="n">
        <v>3</v>
      </c>
      <c r="F8" s="7" t="n">
        <v>3</v>
      </c>
      <c r="G8" s="7" t="n">
        <v>8</v>
      </c>
      <c r="H8" s="7" t="n">
        <v>4</v>
      </c>
    </row>
    <row r="9" customFormat="false" ht="30.75" hidden="false" customHeight="true" outlineLevel="0" collapsed="false">
      <c r="A9" s="5" t="s">
        <v>16</v>
      </c>
      <c r="B9" s="6" t="s">
        <v>13</v>
      </c>
      <c r="C9" s="6" t="s">
        <v>13</v>
      </c>
      <c r="D9" s="7" t="n">
        <f aca="false">IF(B9="A", IF(C9="A", 4, 3), IF(C9="A", 1, 2))</f>
        <v>4</v>
      </c>
      <c r="E9" s="7" t="n">
        <v>4</v>
      </c>
      <c r="F9" s="7" t="n">
        <v>3</v>
      </c>
      <c r="G9" s="7" t="n">
        <v>8</v>
      </c>
      <c r="H9" s="7" t="n">
        <v>4</v>
      </c>
    </row>
    <row r="10" customFormat="false" ht="30.75" hidden="false" customHeight="true" outlineLevel="0" collapsed="false">
      <c r="A10" s="5" t="s">
        <v>17</v>
      </c>
      <c r="B10" s="6" t="s">
        <v>13</v>
      </c>
      <c r="C10" s="6" t="s">
        <v>13</v>
      </c>
      <c r="D10" s="7" t="n">
        <f aca="false">IF(B10="A", IF(C10="A", 4, 3), IF(C10="A", 1, 2))</f>
        <v>4</v>
      </c>
      <c r="E10" s="7" t="n">
        <v>5</v>
      </c>
      <c r="F10" s="7" t="n">
        <v>2</v>
      </c>
      <c r="G10" s="7" t="n">
        <v>8</v>
      </c>
      <c r="H10" s="7" t="n">
        <v>3</v>
      </c>
    </row>
    <row r="11" customFormat="false" ht="15" hidden="false" customHeight="true" outlineLevel="0" collapsed="false">
      <c r="A11" s="5" t="s">
        <v>18</v>
      </c>
      <c r="B11" s="6" t="s">
        <v>13</v>
      </c>
      <c r="C11" s="6" t="s">
        <v>13</v>
      </c>
      <c r="D11" s="7" t="n">
        <f aca="false">IF(B11="A", IF(C11="A", 4, 3), IF(C11="A", 1, 2))</f>
        <v>4</v>
      </c>
      <c r="E11" s="7" t="n">
        <v>6</v>
      </c>
      <c r="F11" s="7" t="n">
        <v>1</v>
      </c>
      <c r="G11" s="7" t="n">
        <v>3</v>
      </c>
      <c r="H11" s="7" t="n">
        <v>2</v>
      </c>
    </row>
    <row r="12" customFormat="false" ht="15" hidden="false" customHeight="true" outlineLevel="0" collapsed="false">
      <c r="A12" s="5" t="s">
        <v>19</v>
      </c>
      <c r="B12" s="6" t="s">
        <v>13</v>
      </c>
      <c r="C12" s="6" t="s">
        <v>13</v>
      </c>
      <c r="D12" s="7" t="n">
        <f aca="false">IF(B12="A", IF(C12="A", 4, 3), IF(C12="A", 1, 2))</f>
        <v>4</v>
      </c>
      <c r="E12" s="7" t="n">
        <v>7</v>
      </c>
      <c r="F12" s="7" t="n">
        <v>1</v>
      </c>
      <c r="G12" s="7" t="n">
        <v>8</v>
      </c>
      <c r="H12" s="7" t="n">
        <v>2</v>
      </c>
    </row>
    <row r="13" customFormat="false" ht="30.75" hidden="false" customHeight="true" outlineLevel="0" collapsed="false">
      <c r="A13" s="5" t="s">
        <v>20</v>
      </c>
      <c r="B13" s="6" t="s">
        <v>13</v>
      </c>
      <c r="C13" s="6" t="s">
        <v>13</v>
      </c>
      <c r="D13" s="7" t="n">
        <f aca="false">IF(B13="A", IF(C13="A", 4, 3), IF(C13="A", 1, 2))</f>
        <v>4</v>
      </c>
      <c r="E13" s="7" t="n">
        <v>8</v>
      </c>
      <c r="F13" s="7" t="n">
        <v>2</v>
      </c>
      <c r="G13" s="7" t="n">
        <v>3</v>
      </c>
      <c r="H13" s="7" t="n">
        <v>3</v>
      </c>
    </row>
    <row r="14" customFormat="false" ht="30.75" hidden="false" customHeight="true" outlineLevel="0" collapsed="false">
      <c r="A14" s="5" t="s">
        <v>21</v>
      </c>
      <c r="B14" s="6" t="s">
        <v>13</v>
      </c>
      <c r="C14" s="6" t="s">
        <v>13</v>
      </c>
      <c r="D14" s="7" t="n">
        <f aca="false">IF(B14="A", IF(C14="A", 4, 3), IF(C14="A", 1, 2))</f>
        <v>4</v>
      </c>
      <c r="E14" s="7" t="n">
        <v>9</v>
      </c>
      <c r="F14" s="7" t="n">
        <v>2</v>
      </c>
      <c r="G14" s="7" t="n">
        <v>8</v>
      </c>
      <c r="H14" s="7" t="n">
        <v>3</v>
      </c>
    </row>
    <row r="15" customFormat="false" ht="30.75" hidden="false" customHeight="true" outlineLevel="0" collapsed="false">
      <c r="A15" s="5" t="s">
        <v>22</v>
      </c>
      <c r="B15" s="6" t="s">
        <v>13</v>
      </c>
      <c r="C15" s="6" t="s">
        <v>13</v>
      </c>
      <c r="D15" s="7" t="n">
        <f aca="false">IF(B15="A", IF(C15="A", 4, 3), IF(C15="A", 1, 2))</f>
        <v>4</v>
      </c>
      <c r="E15" s="7" t="n">
        <v>10</v>
      </c>
      <c r="F15" s="7" t="n">
        <v>3</v>
      </c>
      <c r="G15" s="7" t="n">
        <v>5</v>
      </c>
      <c r="H15" s="7" t="n">
        <v>5</v>
      </c>
    </row>
    <row r="16" customFormat="false" ht="30.75" hidden="false" customHeight="true" outlineLevel="0" collapsed="false">
      <c r="A16" s="5" t="s">
        <v>23</v>
      </c>
      <c r="B16" s="6" t="s">
        <v>13</v>
      </c>
      <c r="C16" s="6" t="s">
        <v>13</v>
      </c>
      <c r="D16" s="7" t="n">
        <f aca="false">IF(B16="A", IF(C16="A", 4, 3), IF(C16="A", 1, 2))</f>
        <v>4</v>
      </c>
      <c r="E16" s="7" t="n">
        <v>11</v>
      </c>
      <c r="F16" s="7" t="n">
        <v>3</v>
      </c>
      <c r="G16" s="7" t="n">
        <v>8</v>
      </c>
      <c r="H16" s="7" t="n">
        <v>4</v>
      </c>
    </row>
    <row r="17" customFormat="false" ht="30.75" hidden="false" customHeight="true" outlineLevel="0" collapsed="false">
      <c r="A17" s="5" t="s">
        <v>24</v>
      </c>
      <c r="B17" s="6" t="s">
        <v>13</v>
      </c>
      <c r="C17" s="6" t="s">
        <v>13</v>
      </c>
      <c r="D17" s="7" t="n">
        <f aca="false">IF(B17="A", IF(C17="A", 4, 3), IF(C17="A", 1, 2))</f>
        <v>4</v>
      </c>
      <c r="E17" s="7" t="n">
        <v>12</v>
      </c>
      <c r="F17" s="7" t="n">
        <v>2</v>
      </c>
      <c r="G17" s="7" t="n">
        <v>5</v>
      </c>
      <c r="H17" s="7" t="n">
        <v>3</v>
      </c>
    </row>
    <row r="18" customFormat="false" ht="30.75" hidden="false" customHeight="true" outlineLevel="0" collapsed="false">
      <c r="A18" s="5" t="s">
        <v>25</v>
      </c>
      <c r="B18" s="6" t="s">
        <v>13</v>
      </c>
      <c r="C18" s="6" t="s">
        <v>26</v>
      </c>
      <c r="D18" s="7" t="n">
        <f aca="false">IF(B18="A", IF(C18="A", 4, 3), IF(C18="A", 1, 2))</f>
        <v>3</v>
      </c>
      <c r="E18" s="7" t="n">
        <v>13</v>
      </c>
      <c r="F18" s="7" t="n">
        <v>1</v>
      </c>
      <c r="G18" s="7" t="n">
        <v>5</v>
      </c>
      <c r="H18" s="7" t="n">
        <v>1</v>
      </c>
    </row>
    <row r="19" customFormat="false" ht="30.75" hidden="false" customHeight="true" outlineLevel="0" collapsed="false">
      <c r="A19" s="5" t="s">
        <v>27</v>
      </c>
      <c r="B19" s="6" t="s">
        <v>13</v>
      </c>
      <c r="C19" s="6" t="s">
        <v>26</v>
      </c>
      <c r="D19" s="7" t="n">
        <f aca="false">IF(B19="A", IF(C19="A", 4, 3), IF(C19="A", 1, 2))</f>
        <v>3</v>
      </c>
      <c r="E19" s="7" t="n">
        <v>14</v>
      </c>
      <c r="F19" s="7" t="n">
        <v>3</v>
      </c>
      <c r="G19" s="7" t="n">
        <v>5</v>
      </c>
      <c r="H19" s="7" t="n">
        <v>4</v>
      </c>
    </row>
    <row r="20" customFormat="false" ht="30.75" hidden="false" customHeight="true" outlineLevel="0" collapsed="false">
      <c r="A20" s="5" t="s">
        <v>28</v>
      </c>
      <c r="B20" s="6" t="s">
        <v>13</v>
      </c>
      <c r="C20" s="6" t="s">
        <v>26</v>
      </c>
      <c r="D20" s="7" t="n">
        <f aca="false">IF(B20="A", IF(C20="A", 4, 3), IF(C20="A", 1, 2))</f>
        <v>3</v>
      </c>
      <c r="E20" s="7" t="n">
        <v>15</v>
      </c>
      <c r="F20" s="7" t="n">
        <v>1</v>
      </c>
      <c r="G20" s="7" t="n">
        <v>2</v>
      </c>
      <c r="H20" s="7" t="n">
        <v>2</v>
      </c>
    </row>
    <row r="21" customFormat="false" ht="30.75" hidden="false" customHeight="true" outlineLevel="0" collapsed="false">
      <c r="A21" s="5" t="s">
        <v>29</v>
      </c>
      <c r="B21" s="6" t="s">
        <v>13</v>
      </c>
      <c r="C21" s="6" t="s">
        <v>26</v>
      </c>
      <c r="D21" s="7" t="n">
        <f aca="false">IF(B21="A", IF(C21="A", 4, 3), IF(C21="A", 1, 2))</f>
        <v>3</v>
      </c>
      <c r="E21" s="7" t="n">
        <v>16</v>
      </c>
      <c r="F21" s="7" t="n">
        <v>1</v>
      </c>
      <c r="G21" s="7" t="n">
        <v>8</v>
      </c>
      <c r="H21" s="7" t="n">
        <v>1</v>
      </c>
    </row>
    <row r="22" customFormat="false" ht="15" hidden="false" customHeight="true" outlineLevel="0" collapsed="false">
      <c r="A22" s="5" t="s">
        <v>30</v>
      </c>
      <c r="B22" s="6" t="s">
        <v>13</v>
      </c>
      <c r="C22" s="6" t="s">
        <v>26</v>
      </c>
      <c r="D22" s="7" t="n">
        <f aca="false">IF(B22="A", IF(C22="A", 4, 3), IF(C22="A", 1, 2))</f>
        <v>3</v>
      </c>
      <c r="E22" s="7" t="n">
        <v>17</v>
      </c>
      <c r="F22" s="7" t="n">
        <v>1</v>
      </c>
      <c r="G22" s="7" t="n">
        <v>5</v>
      </c>
      <c r="H22" s="7" t="n">
        <v>2</v>
      </c>
    </row>
    <row r="23" customFormat="false" ht="30.75" hidden="false" customHeight="true" outlineLevel="0" collapsed="false">
      <c r="A23" s="5" t="s">
        <v>31</v>
      </c>
      <c r="B23" s="6" t="s">
        <v>13</v>
      </c>
      <c r="C23" s="6" t="s">
        <v>26</v>
      </c>
      <c r="D23" s="7" t="n">
        <f aca="false">IF(B23="A", IF(C23="A", 4, 3), IF(C23="A", 1, 2))</f>
        <v>3</v>
      </c>
      <c r="E23" s="7" t="n">
        <v>18</v>
      </c>
      <c r="F23" s="7" t="n">
        <v>2</v>
      </c>
      <c r="G23" s="7" t="n">
        <v>5</v>
      </c>
      <c r="H23" s="7" t="n">
        <v>3</v>
      </c>
    </row>
    <row r="24" customFormat="false" ht="30.75" hidden="false" customHeight="true" outlineLevel="0" collapsed="false">
      <c r="A24" s="5" t="s">
        <v>32</v>
      </c>
      <c r="B24" s="6" t="s">
        <v>13</v>
      </c>
      <c r="C24" s="6" t="s">
        <v>26</v>
      </c>
      <c r="D24" s="7" t="n">
        <f aca="false">IF(B24="A", IF(C24="A", 4, 3), IF(C24="A", 1, 2))</f>
        <v>3</v>
      </c>
      <c r="E24" s="7" t="n">
        <v>19</v>
      </c>
      <c r="F24" s="7" t="n">
        <v>1</v>
      </c>
      <c r="G24" s="7" t="n">
        <v>3</v>
      </c>
      <c r="H24" s="7" t="n">
        <v>2</v>
      </c>
    </row>
    <row r="25" customFormat="false" ht="30.75" hidden="false" customHeight="true" outlineLevel="0" collapsed="false">
      <c r="A25" s="5" t="s">
        <v>33</v>
      </c>
      <c r="B25" s="6" t="s">
        <v>13</v>
      </c>
      <c r="C25" s="6" t="s">
        <v>26</v>
      </c>
      <c r="D25" s="7" t="n">
        <f aca="false">IF(B25="A", IF(C25="A", 4, 3), IF(C25="A", 1, 2))</f>
        <v>3</v>
      </c>
      <c r="E25" s="7" t="n">
        <v>20</v>
      </c>
      <c r="F25" s="7" t="n">
        <v>3</v>
      </c>
      <c r="G25" s="7" t="n">
        <v>13</v>
      </c>
      <c r="H25" s="7" t="n">
        <v>5</v>
      </c>
    </row>
    <row r="26" customFormat="false" ht="30.75" hidden="false" customHeight="true" outlineLevel="0" collapsed="false">
      <c r="A26" s="5" t="s">
        <v>34</v>
      </c>
      <c r="B26" s="6" t="s">
        <v>26</v>
      </c>
      <c r="C26" s="6" t="s">
        <v>26</v>
      </c>
      <c r="D26" s="7" t="n">
        <f aca="false">IF(B26="A", IF(C26="A", 4, 3), IF(C26="A", 1, 2))</f>
        <v>2</v>
      </c>
      <c r="E26" s="7" t="n">
        <v>21</v>
      </c>
      <c r="F26" s="7" t="n">
        <v>3</v>
      </c>
      <c r="G26" s="7" t="n">
        <v>5</v>
      </c>
      <c r="H26" s="7" t="n">
        <v>5</v>
      </c>
    </row>
    <row r="27" customFormat="false" ht="30.75" hidden="false" customHeight="true" outlineLevel="0" collapsed="false">
      <c r="A27" s="5" t="s">
        <v>35</v>
      </c>
      <c r="B27" s="6" t="s">
        <v>26</v>
      </c>
      <c r="C27" s="6" t="s">
        <v>26</v>
      </c>
      <c r="D27" s="7" t="n">
        <f aca="false">IF(B27="A", IF(C27="A", 4, 3), IF(C27="A", 1, 2))</f>
        <v>2</v>
      </c>
      <c r="E27" s="7" t="n">
        <v>22</v>
      </c>
      <c r="F27" s="7" t="n">
        <v>1</v>
      </c>
      <c r="G27" s="7" t="n">
        <v>3</v>
      </c>
      <c r="H27" s="7" t="n">
        <v>2</v>
      </c>
    </row>
    <row r="28" customFormat="false" ht="30.75" hidden="false" customHeight="true" outlineLevel="0" collapsed="false">
      <c r="A28" s="5" t="s">
        <v>36</v>
      </c>
      <c r="B28" s="6" t="s">
        <v>26</v>
      </c>
      <c r="C28" s="6" t="s">
        <v>26</v>
      </c>
      <c r="D28" s="7" t="n">
        <f aca="false">IF(B28="A", IF(C28="A", 4, 3), IF(C28="A", 1, 2))</f>
        <v>2</v>
      </c>
      <c r="E28" s="7" t="n">
        <v>23</v>
      </c>
      <c r="F28" s="7" t="n">
        <v>2</v>
      </c>
      <c r="G28" s="7" t="n">
        <v>2</v>
      </c>
      <c r="H28" s="7" t="n">
        <v>3</v>
      </c>
    </row>
    <row r="29" customFormat="false" ht="30.75" hidden="false" customHeight="true" outlineLevel="0" collapsed="false">
      <c r="A29" s="5" t="s">
        <v>37</v>
      </c>
      <c r="B29" s="6" t="s">
        <v>26</v>
      </c>
      <c r="C29" s="6" t="s">
        <v>26</v>
      </c>
      <c r="D29" s="7" t="n">
        <f aca="false">IF(B29="A", IF(C29="A", 4, 3), IF(C29="A", 1, 2))</f>
        <v>2</v>
      </c>
      <c r="E29" s="7" t="n">
        <v>24</v>
      </c>
      <c r="F29" s="7" t="n">
        <v>3</v>
      </c>
      <c r="G29" s="7" t="n">
        <v>5</v>
      </c>
      <c r="H29" s="7" t="n">
        <v>5</v>
      </c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  <c r="H30" s="8"/>
    </row>
    <row r="31" customFormat="false" ht="15" hidden="false" customHeight="true" outlineLevel="0" collapsed="false">
      <c r="A31" s="8"/>
      <c r="B31" s="8"/>
      <c r="C31" s="8"/>
      <c r="D31" s="8"/>
      <c r="E31" s="8"/>
      <c r="F31" s="8"/>
      <c r="G31" s="8"/>
      <c r="H31" s="8"/>
    </row>
  </sheetData>
  <mergeCells count="2">
    <mergeCell ref="B2:H2"/>
    <mergeCell ref="B3:H3"/>
  </mergeCells>
  <dataValidations count="1">
    <dataValidation allowBlank="false" errorStyle="stop" operator="between" showDropDown="false" showErrorMessage="false" showInputMessage="false" sqref="B6:C29" type="list">
      <formula1>"A,B"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2"/>
    <col collapsed="false" customWidth="true" hidden="false" outlineLevel="0" max="4" min="3" style="1" width="13"/>
    <col collapsed="false" customWidth="true" hidden="false" outlineLevel="0" max="5" min="5" style="1" width="72"/>
    <col collapsed="false" customWidth="true" hidden="false" outlineLevel="0" max="6" min="6" style="1" width="26"/>
  </cols>
  <sheetData>
    <row r="1" customFormat="false" ht="21.75" hidden="false" customHeight="true" outlineLevel="0" collapsed="false">
      <c r="A1" s="9" t="s">
        <v>38</v>
      </c>
    </row>
    <row r="2" customFormat="false" ht="36" hidden="false" customHeight="true" outlineLevel="0" collapsed="false">
      <c r="A2" s="10" t="s">
        <v>39</v>
      </c>
      <c r="B2" s="10"/>
      <c r="C2" s="10"/>
      <c r="D2" s="10"/>
      <c r="E2" s="10"/>
      <c r="F2" s="10"/>
    </row>
    <row r="3" customFormat="false" ht="19.5" hidden="false" customHeight="true" outlineLevel="0" collapsed="false">
      <c r="A3" s="10" t="s">
        <v>40</v>
      </c>
      <c r="B3" s="10"/>
      <c r="C3" s="10"/>
      <c r="D3" s="10"/>
      <c r="E3" s="10"/>
      <c r="F3" s="10"/>
    </row>
    <row r="4" customFormat="false" ht="36" hidden="false" customHeight="true" outlineLevel="0" collapsed="false">
      <c r="A4" s="10" t="s">
        <v>41</v>
      </c>
      <c r="B4" s="10"/>
      <c r="C4" s="10"/>
      <c r="D4" s="10"/>
      <c r="E4" s="10"/>
      <c r="F4" s="10"/>
    </row>
    <row r="5" customFormat="false" ht="19.5" hidden="false" customHeight="true" outlineLevel="0" collapsed="false">
      <c r="A5" s="10" t="s">
        <v>42</v>
      </c>
      <c r="B5" s="10"/>
      <c r="C5" s="10"/>
      <c r="D5" s="10"/>
      <c r="E5" s="10"/>
      <c r="F5" s="10"/>
    </row>
    <row r="6" customFormat="false" ht="19.5" hidden="false" customHeight="true" outlineLevel="0" collapsed="false">
      <c r="A6" s="11" t="s">
        <v>43</v>
      </c>
      <c r="B6" s="11"/>
      <c r="C6" s="11"/>
      <c r="D6" s="12" t="n">
        <v>30</v>
      </c>
      <c r="E6" s="13" t="s">
        <v>44</v>
      </c>
    </row>
    <row r="8" customFormat="false" ht="19.5" hidden="false" customHeight="true" outlineLevel="0" collapsed="false">
      <c r="A8" s="14" t="s">
        <v>45</v>
      </c>
    </row>
    <row r="9" customFormat="false" ht="33.75" hidden="false" customHeight="true" outlineLevel="0" collapsed="false">
      <c r="A9" s="15" t="s">
        <v>9</v>
      </c>
      <c r="B9" s="15" t="s">
        <v>46</v>
      </c>
      <c r="C9" s="15" t="s">
        <v>47</v>
      </c>
      <c r="D9" s="15" t="s">
        <v>48</v>
      </c>
      <c r="E9" s="15" t="s">
        <v>49</v>
      </c>
      <c r="F9" s="15" t="s">
        <v>50</v>
      </c>
    </row>
    <row r="10" customFormat="false" ht="33.75" hidden="false" customHeight="true" outlineLevel="0" collapsed="false">
      <c r="A10" s="7" t="n">
        <v>1</v>
      </c>
      <c r="B10" s="5" t="s">
        <v>51</v>
      </c>
      <c r="C10" s="7" t="n">
        <v>5</v>
      </c>
      <c r="D10" s="7" t="n">
        <v>21</v>
      </c>
      <c r="E10" s="5" t="s">
        <v>52</v>
      </c>
      <c r="F10" s="7" t="str">
        <f aca="false">IF(D10&gt;13,"Quebrar (ver item 2)",IF(D10=13,"Manter (no limite)","Manter"))</f>
        <v>Quebrar (ver item 2)</v>
      </c>
    </row>
    <row r="11" customFormat="false" ht="33.75" hidden="false" customHeight="true" outlineLevel="0" collapsed="false">
      <c r="A11" s="7" t="n">
        <v>1</v>
      </c>
      <c r="B11" s="5" t="s">
        <v>29</v>
      </c>
      <c r="C11" s="7" t="n">
        <v>3</v>
      </c>
      <c r="D11" s="7" t="n">
        <f aca="false">INDEX(Sheet1!$G$6:$G$29,MATCH($B11,Sheet1!$A$6:$A$29,0))</f>
        <v>8</v>
      </c>
      <c r="E11" s="5" t="s">
        <v>53</v>
      </c>
      <c r="F11" s="7" t="str">
        <f aca="false">IF(D11&gt;13,"Quebrar (ver item 2)",IF(D11=13,"Manter (no limite)","Manter"))</f>
        <v>Manter</v>
      </c>
    </row>
    <row r="12" customFormat="false" ht="33.75" hidden="false" customHeight="true" outlineLevel="0" collapsed="false">
      <c r="A12" s="7" t="n">
        <v>1</v>
      </c>
      <c r="B12" s="5" t="s">
        <v>19</v>
      </c>
      <c r="C12" s="7" t="n">
        <v>5</v>
      </c>
      <c r="D12" s="7" t="n">
        <f aca="false">INDEX(Sheet1!$G$6:$G$29,MATCH($B12,Sheet1!$A$6:$A$29,0))</f>
        <v>8</v>
      </c>
      <c r="E12" s="5" t="s">
        <v>54</v>
      </c>
      <c r="F12" s="7" t="str">
        <f aca="false">IF(D12&gt;13,"Quebrar (ver item 2)",IF(D12=13,"Manter (no limite)","Manter"))</f>
        <v>Manter</v>
      </c>
    </row>
    <row r="13" customFormat="false" ht="33.75" hidden="false" customHeight="true" outlineLevel="0" collapsed="false">
      <c r="A13" s="7" t="n">
        <v>1</v>
      </c>
      <c r="B13" s="5" t="s">
        <v>30</v>
      </c>
      <c r="C13" s="7" t="n">
        <v>3</v>
      </c>
      <c r="D13" s="7" t="n">
        <f aca="false">INDEX(Sheet1!$G$6:$G$29,MATCH($B13,Sheet1!$A$6:$A$29,0))</f>
        <v>5</v>
      </c>
      <c r="E13" s="5" t="s">
        <v>55</v>
      </c>
      <c r="F13" s="7" t="str">
        <f aca="false">IF(D13&gt;13,"Quebrar (ver item 2)",IF(D13=13,"Manter (no limite)","Manter"))</f>
        <v>Manter</v>
      </c>
    </row>
    <row r="14" customFormat="false" ht="33.75" hidden="false" customHeight="true" outlineLevel="0" collapsed="false">
      <c r="A14" s="7" t="n">
        <v>1</v>
      </c>
      <c r="B14" s="5" t="s">
        <v>18</v>
      </c>
      <c r="C14" s="7" t="n">
        <v>5</v>
      </c>
      <c r="D14" s="7" t="n">
        <f aca="false">INDEX(Sheet1!$G$6:$G$29,MATCH($B14,Sheet1!$A$6:$A$29,0))</f>
        <v>3</v>
      </c>
      <c r="E14" s="5" t="s">
        <v>56</v>
      </c>
      <c r="F14" s="7" t="str">
        <f aca="false">IF(D14&gt;13,"Quebrar (ver item 2)",IF(D14=13,"Manter (no limite)","Manter"))</f>
        <v>Manter</v>
      </c>
    </row>
    <row r="15" customFormat="false" ht="33.75" hidden="false" customHeight="true" outlineLevel="0" collapsed="false">
      <c r="A15" s="7" t="n">
        <v>1</v>
      </c>
      <c r="B15" s="5" t="s">
        <v>35</v>
      </c>
      <c r="C15" s="7" t="n">
        <v>3</v>
      </c>
      <c r="D15" s="7" t="n">
        <f aca="false">INDEX(Sheet1!$G$6:$G$29,MATCH($B15,Sheet1!$A$6:$A$29,0))</f>
        <v>3</v>
      </c>
      <c r="E15" s="5" t="s">
        <v>57</v>
      </c>
      <c r="F15" s="7" t="str">
        <f aca="false">IF(D15&gt;13,"Quebrar (ver item 2)",IF(D15=13,"Manter (no limite)","Manter"))</f>
        <v>Manter</v>
      </c>
    </row>
    <row r="16" customFormat="false" ht="33.75" hidden="false" customHeight="true" outlineLevel="0" collapsed="false">
      <c r="A16" s="7" t="n">
        <v>1</v>
      </c>
      <c r="B16" s="5" t="s">
        <v>32</v>
      </c>
      <c r="C16" s="7" t="n">
        <v>3</v>
      </c>
      <c r="D16" s="7" t="n">
        <f aca="false">INDEX(Sheet1!$G$6:$G$29,MATCH($B16,Sheet1!$A$6:$A$29,0))</f>
        <v>3</v>
      </c>
      <c r="E16" s="5" t="s">
        <v>58</v>
      </c>
      <c r="F16" s="7" t="str">
        <f aca="false">IF(D16&gt;13,"Quebrar (ver item 2)",IF(D16=13,"Manter (no limite)","Manter"))</f>
        <v>Manter</v>
      </c>
    </row>
    <row r="17" customFormat="false" ht="33.75" hidden="false" customHeight="true" outlineLevel="0" collapsed="false">
      <c r="A17" s="7" t="n">
        <v>1</v>
      </c>
      <c r="B17" s="5" t="s">
        <v>28</v>
      </c>
      <c r="C17" s="7" t="n">
        <v>5</v>
      </c>
      <c r="D17" s="7" t="n">
        <f aca="false">INDEX(Sheet1!$G$6:$G$29,MATCH($B17,Sheet1!$A$6:$A$29,0))</f>
        <v>2</v>
      </c>
      <c r="E17" s="5" t="s">
        <v>59</v>
      </c>
      <c r="F17" s="7" t="str">
        <f aca="false">IF(D17&gt;13,"Quebrar (ver item 2)",IF(D17=13,"Manter (no limite)","Manter"))</f>
        <v>Manter</v>
      </c>
    </row>
    <row r="18" customFormat="false" ht="33.75" hidden="false" customHeight="true" outlineLevel="0" collapsed="false">
      <c r="A18" s="7" t="n">
        <v>2</v>
      </c>
      <c r="B18" s="5" t="s">
        <v>17</v>
      </c>
      <c r="C18" s="7" t="n">
        <v>8</v>
      </c>
      <c r="D18" s="7" t="n">
        <f aca="false">INDEX(Sheet1!$G$6:$G$29,MATCH($B18,Sheet1!$A$6:$A$29,0))</f>
        <v>8</v>
      </c>
      <c r="E18" s="5" t="s">
        <v>60</v>
      </c>
      <c r="F18" s="7" t="str">
        <f aca="false">IF(D18&gt;13,"Quebrar (ver item 2)",IF(D18=13,"Manter (no limite)","Manter"))</f>
        <v>Manter</v>
      </c>
    </row>
    <row r="19" customFormat="false" ht="33.75" hidden="false" customHeight="true" outlineLevel="0" collapsed="false">
      <c r="A19" s="7" t="n">
        <v>2</v>
      </c>
      <c r="B19" s="5" t="s">
        <v>21</v>
      </c>
      <c r="C19" s="7" t="n">
        <v>5</v>
      </c>
      <c r="D19" s="7" t="n">
        <f aca="false">INDEX(Sheet1!$G$6:$G$29,MATCH($B19,Sheet1!$A$6:$A$29,0))</f>
        <v>8</v>
      </c>
      <c r="E19" s="5" t="s">
        <v>61</v>
      </c>
      <c r="F19" s="7" t="str">
        <f aca="false">IF(D19&gt;13,"Quebrar (ver item 2)",IF(D19=13,"Manter (no limite)","Manter"))</f>
        <v>Manter</v>
      </c>
    </row>
    <row r="20" customFormat="false" ht="33.75" hidden="false" customHeight="true" outlineLevel="0" collapsed="false">
      <c r="A20" s="7" t="n">
        <v>2</v>
      </c>
      <c r="B20" s="5" t="s">
        <v>31</v>
      </c>
      <c r="C20" s="7" t="n">
        <v>5</v>
      </c>
      <c r="D20" s="7" t="n">
        <f aca="false">INDEX(Sheet1!$G$6:$G$29,MATCH($B20,Sheet1!$A$6:$A$29,0))</f>
        <v>5</v>
      </c>
      <c r="E20" s="5" t="s">
        <v>62</v>
      </c>
      <c r="F20" s="7" t="str">
        <f aca="false">IF(D20&gt;13,"Quebrar (ver item 2)",IF(D20=13,"Manter (no limite)","Manter"))</f>
        <v>Manter</v>
      </c>
    </row>
    <row r="21" customFormat="false" ht="33.75" hidden="false" customHeight="true" outlineLevel="0" collapsed="false">
      <c r="A21" s="7" t="n">
        <v>2</v>
      </c>
      <c r="B21" s="5" t="s">
        <v>24</v>
      </c>
      <c r="C21" s="7" t="n">
        <v>5</v>
      </c>
      <c r="D21" s="7" t="n">
        <f aca="false">INDEX(Sheet1!$G$6:$G$29,MATCH($B21,Sheet1!$A$6:$A$29,0))</f>
        <v>5</v>
      </c>
      <c r="E21" s="5" t="s">
        <v>63</v>
      </c>
      <c r="F21" s="7" t="str">
        <f aca="false">IF(D21&gt;13,"Quebrar (ver item 2)",IF(D21=13,"Manter (no limite)","Manter"))</f>
        <v>Manter</v>
      </c>
    </row>
    <row r="22" customFormat="false" ht="33.75" hidden="false" customHeight="true" outlineLevel="0" collapsed="false">
      <c r="A22" s="7" t="n">
        <v>2</v>
      </c>
      <c r="B22" s="5" t="s">
        <v>20</v>
      </c>
      <c r="C22" s="7" t="n">
        <v>5</v>
      </c>
      <c r="D22" s="7" t="n">
        <f aca="false">INDEX(Sheet1!$G$6:$G$29,MATCH($B22,Sheet1!$A$6:$A$29,0))</f>
        <v>3</v>
      </c>
      <c r="E22" s="5" t="s">
        <v>64</v>
      </c>
      <c r="F22" s="7" t="str">
        <f aca="false">IF(D22&gt;13,"Quebrar (ver item 2)",IF(D22=13,"Manter (no limite)","Manter"))</f>
        <v>Manter</v>
      </c>
    </row>
    <row r="23" customFormat="false" ht="33.75" hidden="false" customHeight="true" outlineLevel="0" collapsed="false">
      <c r="A23" s="7" t="n">
        <v>2</v>
      </c>
      <c r="B23" s="5" t="s">
        <v>36</v>
      </c>
      <c r="C23" s="7" t="n">
        <v>2</v>
      </c>
      <c r="D23" s="7" t="n">
        <f aca="false">INDEX(Sheet1!$G$6:$G$29,MATCH($B23,Sheet1!$A$6:$A$29,0))</f>
        <v>2</v>
      </c>
      <c r="E23" s="5" t="s">
        <v>65</v>
      </c>
      <c r="F23" s="7" t="str">
        <f aca="false">IF(D23&gt;13,"Quebrar (ver item 2)",IF(D23=13,"Manter (no limite)","Manter"))</f>
        <v>Manter</v>
      </c>
    </row>
    <row r="24" customFormat="false" ht="33.75" hidden="false" customHeight="true" outlineLevel="0" collapsed="false">
      <c r="A24" s="7" t="n">
        <v>3</v>
      </c>
      <c r="B24" s="5" t="s">
        <v>66</v>
      </c>
      <c r="C24" s="7" t="n">
        <v>8</v>
      </c>
      <c r="D24" s="7" t="n">
        <v>21</v>
      </c>
      <c r="E24" s="5" t="s">
        <v>67</v>
      </c>
      <c r="F24" s="7" t="str">
        <f aca="false">IF(D24&gt;13,"Quebrar (ver item 2)",IF(D24=13,"Manter (no limite)","Manter"))</f>
        <v>Quebrar (ver item 2)</v>
      </c>
    </row>
    <row r="25" customFormat="false" ht="49.5" hidden="false" customHeight="true" outlineLevel="0" collapsed="false">
      <c r="A25" s="7" t="n">
        <v>3</v>
      </c>
      <c r="B25" s="5" t="s">
        <v>33</v>
      </c>
      <c r="C25" s="7" t="n">
        <v>8</v>
      </c>
      <c r="D25" s="7" t="n">
        <f aca="false">INDEX(Sheet1!$G$6:$G$29,MATCH($B25,Sheet1!$A$6:$A$29,0))</f>
        <v>13</v>
      </c>
      <c r="E25" s="5" t="s">
        <v>68</v>
      </c>
      <c r="F25" s="7" t="str">
        <f aca="false">IF(D25&gt;13,"Quebrar (ver item 2)",IF(D25=13,"Manter (no limite)","Manter"))</f>
        <v>Manter (no limite)</v>
      </c>
    </row>
    <row r="26" customFormat="false" ht="33.75" hidden="false" customHeight="true" outlineLevel="0" collapsed="false">
      <c r="A26" s="7" t="n">
        <v>3</v>
      </c>
      <c r="B26" s="5" t="s">
        <v>23</v>
      </c>
      <c r="C26" s="7" t="n">
        <v>5</v>
      </c>
      <c r="D26" s="7" t="n">
        <f aca="false">INDEX(Sheet1!$G$6:$G$29,MATCH($B26,Sheet1!$A$6:$A$29,0))</f>
        <v>8</v>
      </c>
      <c r="E26" s="5" t="s">
        <v>69</v>
      </c>
      <c r="F26" s="7" t="str">
        <f aca="false">IF(D26&gt;13,"Quebrar (ver item 2)",IF(D26=13,"Manter (no limite)","Manter"))</f>
        <v>Manter</v>
      </c>
    </row>
    <row r="27" customFormat="false" ht="33.75" hidden="false" customHeight="true" outlineLevel="0" collapsed="false">
      <c r="A27" s="7" t="n">
        <v>3</v>
      </c>
      <c r="B27" s="5" t="s">
        <v>34</v>
      </c>
      <c r="C27" s="7" t="n">
        <v>5</v>
      </c>
      <c r="D27" s="7" t="n">
        <f aca="false">INDEX(Sheet1!$G$6:$G$29,MATCH($B27,Sheet1!$A$6:$A$29,0))</f>
        <v>5</v>
      </c>
      <c r="E27" s="5" t="s">
        <v>70</v>
      </c>
      <c r="F27" s="7" t="str">
        <f aca="false">IF(D27&gt;13,"Quebrar (ver item 2)",IF(D27=13,"Manter (no limite)","Manter"))</f>
        <v>Manter</v>
      </c>
    </row>
    <row r="28" customFormat="false" ht="33.75" hidden="false" customHeight="true" outlineLevel="0" collapsed="false">
      <c r="A28" s="7" t="n">
        <v>3</v>
      </c>
      <c r="B28" s="5" t="s">
        <v>22</v>
      </c>
      <c r="C28" s="7" t="n">
        <v>8</v>
      </c>
      <c r="D28" s="7" t="n">
        <f aca="false">INDEX(Sheet1!$G$6:$G$29,MATCH($B28,Sheet1!$A$6:$A$29,0))</f>
        <v>5</v>
      </c>
      <c r="E28" s="5" t="s">
        <v>71</v>
      </c>
      <c r="F28" s="7" t="str">
        <f aca="false">IF(D28&gt;13,"Quebrar (ver item 2)",IF(D28=13,"Manter (no limite)","Manter"))</f>
        <v>Manter</v>
      </c>
    </row>
    <row r="29" customFormat="false" ht="33.75" hidden="false" customHeight="true" outlineLevel="0" collapsed="false">
      <c r="A29" s="7" t="n">
        <v>3</v>
      </c>
      <c r="B29" s="5" t="s">
        <v>37</v>
      </c>
      <c r="C29" s="7" t="n">
        <v>3</v>
      </c>
      <c r="D29" s="7" t="n">
        <f aca="false">INDEX(Sheet1!$G$6:$G$29,MATCH($B29,Sheet1!$A$6:$A$29,0))</f>
        <v>5</v>
      </c>
      <c r="E29" s="5" t="s">
        <v>72</v>
      </c>
      <c r="F29" s="7" t="str">
        <f aca="false">IF(D29&gt;13,"Quebrar (ver item 2)",IF(D29=13,"Manter (no limite)","Manter"))</f>
        <v>Manter</v>
      </c>
    </row>
    <row r="31" customFormat="false" ht="19.5" hidden="false" customHeight="true" outlineLevel="0" collapsed="false">
      <c r="A31" s="14" t="s">
        <v>73</v>
      </c>
    </row>
    <row r="32" customFormat="false" ht="33.75" hidden="false" customHeight="true" outlineLevel="0" collapsed="false">
      <c r="A32" s="15" t="s">
        <v>74</v>
      </c>
      <c r="B32" s="15" t="s">
        <v>75</v>
      </c>
      <c r="C32" s="15" t="s">
        <v>5</v>
      </c>
      <c r="D32" s="15" t="s">
        <v>6</v>
      </c>
      <c r="E32" s="15" t="s">
        <v>76</v>
      </c>
      <c r="F32" s="15" t="s">
        <v>77</v>
      </c>
    </row>
    <row r="33" customFormat="false" ht="33.75" hidden="false" customHeight="true" outlineLevel="0" collapsed="false">
      <c r="A33" s="7" t="s">
        <v>78</v>
      </c>
      <c r="B33" s="5" t="s">
        <v>25</v>
      </c>
      <c r="C33" s="7" t="str">
        <f aca="false">INDEX(Sheet1!$B$6:$B$29,MATCH($B33,Sheet1!$A$6:$A$29,0))</f>
        <v>A</v>
      </c>
      <c r="D33" s="7" t="str">
        <f aca="false">INDEX(Sheet1!$C$6:$C$29,MATCH($B33,Sheet1!$A$6:$A$29,0))</f>
        <v>B</v>
      </c>
      <c r="E33" s="5" t="s">
        <v>79</v>
      </c>
      <c r="F33" s="7" t="n">
        <f aca="false">INDEX(Sheet1!$G$6:$G$29,MATCH($B33,Sheet1!$A$6:$A$29,0))</f>
        <v>5</v>
      </c>
    </row>
    <row r="34" customFormat="false" ht="33.75" hidden="false" customHeight="true" outlineLevel="0" collapsed="false">
      <c r="A34" s="7" t="s">
        <v>78</v>
      </c>
      <c r="B34" s="5" t="s">
        <v>12</v>
      </c>
      <c r="C34" s="7" t="str">
        <f aca="false">INDEX(Sheet1!$B$6:$B$29,MATCH($B34,Sheet1!$A$6:$A$29,0))</f>
        <v>A</v>
      </c>
      <c r="D34" s="7" t="str">
        <f aca="false">INDEX(Sheet1!$C$6:$C$29,MATCH($B34,Sheet1!$A$6:$A$29,0))</f>
        <v>A</v>
      </c>
      <c r="E34" s="5" t="s">
        <v>80</v>
      </c>
      <c r="F34" s="7" t="n">
        <f aca="false">INDEX(Sheet1!$G$6:$G$29,MATCH($B34,Sheet1!$A$6:$A$29,0))</f>
        <v>8</v>
      </c>
    </row>
    <row r="35" customFormat="false" ht="33.75" hidden="false" customHeight="true" outlineLevel="0" collapsed="false">
      <c r="A35" s="7" t="s">
        <v>78</v>
      </c>
      <c r="B35" s="5" t="s">
        <v>14</v>
      </c>
      <c r="C35" s="7" t="str">
        <f aca="false">INDEX(Sheet1!$B$6:$B$29,MATCH($B35,Sheet1!$A$6:$A$29,0))</f>
        <v>A</v>
      </c>
      <c r="D35" s="7" t="str">
        <f aca="false">INDEX(Sheet1!$C$6:$C$29,MATCH($B35,Sheet1!$A$6:$A$29,0))</f>
        <v>A</v>
      </c>
      <c r="E35" s="5" t="s">
        <v>81</v>
      </c>
      <c r="F35" s="7" t="n">
        <f aca="false">INDEX(Sheet1!$G$6:$G$29,MATCH($B35,Sheet1!$A$6:$A$29,0))</f>
        <v>8</v>
      </c>
    </row>
    <row r="36" customFormat="false" ht="33.75" hidden="false" customHeight="true" outlineLevel="0" collapsed="false">
      <c r="A36" s="5"/>
      <c r="B36" s="16" t="s">
        <v>82</v>
      </c>
      <c r="C36" s="5"/>
      <c r="D36" s="5"/>
      <c r="E36" s="5" t="s">
        <v>83</v>
      </c>
      <c r="F36" s="17" t="n">
        <f aca="false">SUM(F33:F35)</f>
        <v>21</v>
      </c>
    </row>
    <row r="37" customFormat="false" ht="33.75" hidden="false" customHeight="true" outlineLevel="0" collapsed="false">
      <c r="A37" s="7" t="s">
        <v>84</v>
      </c>
      <c r="B37" s="5" t="s">
        <v>27</v>
      </c>
      <c r="C37" s="7" t="str">
        <f aca="false">INDEX(Sheet1!$B$6:$B$29,MATCH($B37,Sheet1!$A$6:$A$29,0))</f>
        <v>A</v>
      </c>
      <c r="D37" s="7" t="str">
        <f aca="false">INDEX(Sheet1!$C$6:$C$29,MATCH($B37,Sheet1!$A$6:$A$29,0))</f>
        <v>B</v>
      </c>
      <c r="E37" s="5" t="s">
        <v>85</v>
      </c>
      <c r="F37" s="7" t="n">
        <f aca="false">INDEX(Sheet1!$G$6:$G$29,MATCH($B37,Sheet1!$A$6:$A$29,0))</f>
        <v>5</v>
      </c>
    </row>
    <row r="38" customFormat="false" ht="33.75" hidden="false" customHeight="true" outlineLevel="0" collapsed="false">
      <c r="A38" s="7" t="s">
        <v>84</v>
      </c>
      <c r="B38" s="5" t="s">
        <v>15</v>
      </c>
      <c r="C38" s="7" t="str">
        <f aca="false">INDEX(Sheet1!$B$6:$B$29,MATCH($B38,Sheet1!$A$6:$A$29,0))</f>
        <v>A</v>
      </c>
      <c r="D38" s="7" t="str">
        <f aca="false">INDEX(Sheet1!$C$6:$C$29,MATCH($B38,Sheet1!$A$6:$A$29,0))</f>
        <v>A</v>
      </c>
      <c r="E38" s="5" t="s">
        <v>86</v>
      </c>
      <c r="F38" s="7" t="n">
        <f aca="false">INDEX(Sheet1!$G$6:$G$29,MATCH($B38,Sheet1!$A$6:$A$29,0))</f>
        <v>8</v>
      </c>
    </row>
    <row r="39" customFormat="false" ht="33.75" hidden="false" customHeight="true" outlineLevel="0" collapsed="false">
      <c r="A39" s="7" t="s">
        <v>84</v>
      </c>
      <c r="B39" s="5" t="s">
        <v>16</v>
      </c>
      <c r="C39" s="7" t="str">
        <f aca="false">INDEX(Sheet1!$B$6:$B$29,MATCH($B39,Sheet1!$A$6:$A$29,0))</f>
        <v>A</v>
      </c>
      <c r="D39" s="7" t="str">
        <f aca="false">INDEX(Sheet1!$C$6:$C$29,MATCH($B39,Sheet1!$A$6:$A$29,0))</f>
        <v>A</v>
      </c>
      <c r="E39" s="5" t="s">
        <v>87</v>
      </c>
      <c r="F39" s="7" t="n">
        <f aca="false">INDEX(Sheet1!$G$6:$G$29,MATCH($B39,Sheet1!$A$6:$A$29,0))</f>
        <v>8</v>
      </c>
    </row>
    <row r="40" customFormat="false" ht="18" hidden="false" customHeight="true" outlineLevel="0" collapsed="false">
      <c r="A40" s="5"/>
      <c r="B40" s="16" t="s">
        <v>88</v>
      </c>
      <c r="C40" s="5"/>
      <c r="D40" s="5"/>
      <c r="E40" s="5" t="s">
        <v>89</v>
      </c>
      <c r="F40" s="17" t="n">
        <f aca="false">SUM(F37:F39)</f>
        <v>21</v>
      </c>
    </row>
    <row r="42" customFormat="false" ht="19.5" hidden="false" customHeight="true" outlineLevel="0" collapsed="false">
      <c r="A42" s="14" t="s">
        <v>90</v>
      </c>
    </row>
    <row r="43" customFormat="false" ht="33.75" hidden="false" customHeight="true" outlineLevel="0" collapsed="false">
      <c r="A43" s="15" t="s">
        <v>91</v>
      </c>
      <c r="B43" s="15" t="s">
        <v>46</v>
      </c>
      <c r="C43" s="15" t="s">
        <v>11</v>
      </c>
      <c r="D43" s="15" t="s">
        <v>77</v>
      </c>
      <c r="E43" s="15" t="s">
        <v>92</v>
      </c>
      <c r="F43" s="15" t="s">
        <v>9</v>
      </c>
    </row>
    <row r="44" customFormat="false" ht="33.75" hidden="false" customHeight="true" outlineLevel="0" collapsed="false">
      <c r="A44" s="7" t="n">
        <v>1</v>
      </c>
      <c r="B44" s="5" t="s">
        <v>29</v>
      </c>
      <c r="C44" s="7" t="n">
        <f aca="false">INDEX(Sheet1!$H$6:$H$29,MATCH($B44,Sheet1!$A$6:$A$29,0))</f>
        <v>1</v>
      </c>
      <c r="D44" s="7" t="n">
        <f aca="false">INDEX(Sheet1!$G$6:$G$29,MATCH($B44,Sheet1!$A$6:$A$29,0))</f>
        <v>8</v>
      </c>
      <c r="E44" s="5" t="s">
        <v>93</v>
      </c>
      <c r="F44" s="7" t="n">
        <f aca="false">INDEX(Sheet1!$F$6:$F$29,MATCH($B44,Sheet1!$A$6:$A$29,0))</f>
        <v>1</v>
      </c>
    </row>
    <row r="45" customFormat="false" ht="33.75" hidden="false" customHeight="true" outlineLevel="0" collapsed="false">
      <c r="A45" s="7" t="n">
        <v>2</v>
      </c>
      <c r="B45" s="5" t="s">
        <v>25</v>
      </c>
      <c r="C45" s="7" t="n">
        <f aca="false">INDEX(Sheet1!$H$6:$H$29,MATCH($B45,Sheet1!$A$6:$A$29,0))</f>
        <v>1</v>
      </c>
      <c r="D45" s="7" t="n">
        <f aca="false">INDEX(Sheet1!$G$6:$G$29,MATCH($B45,Sheet1!$A$6:$A$29,0))</f>
        <v>5</v>
      </c>
      <c r="E45" s="5" t="s">
        <v>94</v>
      </c>
      <c r="F45" s="7" t="n">
        <f aca="false">INDEX(Sheet1!$F$6:$F$29,MATCH($B45,Sheet1!$A$6:$A$29,0))</f>
        <v>1</v>
      </c>
    </row>
    <row r="46" customFormat="false" ht="33.75" hidden="false" customHeight="true" outlineLevel="0" collapsed="false">
      <c r="A46" s="7" t="n">
        <v>3</v>
      </c>
      <c r="B46" s="5" t="s">
        <v>12</v>
      </c>
      <c r="C46" s="7" t="n">
        <f aca="false">INDEX(Sheet1!$H$6:$H$29,MATCH($B46,Sheet1!$A$6:$A$29,0))</f>
        <v>1</v>
      </c>
      <c r="D46" s="7" t="n">
        <f aca="false">INDEX(Sheet1!$G$6:$G$29,MATCH($B46,Sheet1!$A$6:$A$29,0))</f>
        <v>8</v>
      </c>
      <c r="E46" s="5" t="s">
        <v>95</v>
      </c>
      <c r="F46" s="7" t="n">
        <f aca="false">INDEX(Sheet1!$F$6:$F$29,MATCH($B46,Sheet1!$A$6:$A$29,0))</f>
        <v>1</v>
      </c>
    </row>
    <row r="47" customFormat="false" ht="33.75" hidden="false" customHeight="true" outlineLevel="0" collapsed="false">
      <c r="A47" s="7" t="n">
        <v>4</v>
      </c>
      <c r="B47" s="5" t="s">
        <v>14</v>
      </c>
      <c r="C47" s="7" t="n">
        <f aca="false">INDEX(Sheet1!$H$6:$H$29,MATCH($B47,Sheet1!$A$6:$A$29,0))</f>
        <v>1</v>
      </c>
      <c r="D47" s="7" t="n">
        <f aca="false">INDEX(Sheet1!$G$6:$G$29,MATCH($B47,Sheet1!$A$6:$A$29,0))</f>
        <v>8</v>
      </c>
      <c r="E47" s="5" t="s">
        <v>96</v>
      </c>
      <c r="F47" s="7" t="n">
        <f aca="false">INDEX(Sheet1!$F$6:$F$29,MATCH($B47,Sheet1!$A$6:$A$29,0))</f>
        <v>1</v>
      </c>
    </row>
    <row r="48" customFormat="false" ht="18" hidden="false" customHeight="true" outlineLevel="0" collapsed="false">
      <c r="A48" s="7" t="n">
        <v>5</v>
      </c>
      <c r="B48" s="5" t="s">
        <v>18</v>
      </c>
      <c r="C48" s="7" t="n">
        <f aca="false">INDEX(Sheet1!$H$6:$H$29,MATCH($B48,Sheet1!$A$6:$A$29,0))</f>
        <v>2</v>
      </c>
      <c r="D48" s="7" t="n">
        <f aca="false">INDEX(Sheet1!$G$6:$G$29,MATCH($B48,Sheet1!$A$6:$A$29,0))</f>
        <v>3</v>
      </c>
      <c r="E48" s="5" t="s">
        <v>97</v>
      </c>
      <c r="F48" s="7" t="n">
        <f aca="false">INDEX(Sheet1!$F$6:$F$29,MATCH($B48,Sheet1!$A$6:$A$29,0))</f>
        <v>1</v>
      </c>
    </row>
    <row r="49" customFormat="false" ht="33.75" hidden="false" customHeight="true" outlineLevel="0" collapsed="false">
      <c r="A49" s="7" t="n">
        <v>6</v>
      </c>
      <c r="B49" s="5" t="s">
        <v>19</v>
      </c>
      <c r="C49" s="7" t="n">
        <f aca="false">INDEX(Sheet1!$H$6:$H$29,MATCH($B49,Sheet1!$A$6:$A$29,0))</f>
        <v>2</v>
      </c>
      <c r="D49" s="7" t="n">
        <f aca="false">INDEX(Sheet1!$G$6:$G$29,MATCH($B49,Sheet1!$A$6:$A$29,0))</f>
        <v>8</v>
      </c>
      <c r="E49" s="5" t="s">
        <v>98</v>
      </c>
      <c r="F49" s="7" t="n">
        <f aca="false">INDEX(Sheet1!$F$6:$F$29,MATCH($B49,Sheet1!$A$6:$A$29,0))</f>
        <v>1</v>
      </c>
    </row>
    <row r="50" customFormat="false" ht="33.75" hidden="false" customHeight="true" outlineLevel="0" collapsed="false">
      <c r="A50" s="7" t="n">
        <v>7</v>
      </c>
      <c r="B50" s="5" t="s">
        <v>28</v>
      </c>
      <c r="C50" s="7" t="n">
        <f aca="false">INDEX(Sheet1!$H$6:$H$29,MATCH($B50,Sheet1!$A$6:$A$29,0))</f>
        <v>2</v>
      </c>
      <c r="D50" s="7" t="n">
        <f aca="false">INDEX(Sheet1!$G$6:$G$29,MATCH($B50,Sheet1!$A$6:$A$29,0))</f>
        <v>2</v>
      </c>
      <c r="E50" s="5" t="s">
        <v>99</v>
      </c>
      <c r="F50" s="7" t="n">
        <f aca="false">INDEX(Sheet1!$F$6:$F$29,MATCH($B50,Sheet1!$A$6:$A$29,0))</f>
        <v>1</v>
      </c>
    </row>
    <row r="51" customFormat="false" ht="18" hidden="false" customHeight="true" outlineLevel="0" collapsed="false">
      <c r="A51" s="7" t="n">
        <v>8</v>
      </c>
      <c r="B51" s="5" t="s">
        <v>30</v>
      </c>
      <c r="C51" s="7" t="n">
        <f aca="false">INDEX(Sheet1!$H$6:$H$29,MATCH($B51,Sheet1!$A$6:$A$29,0))</f>
        <v>2</v>
      </c>
      <c r="D51" s="7" t="n">
        <f aca="false">INDEX(Sheet1!$G$6:$G$29,MATCH($B51,Sheet1!$A$6:$A$29,0))</f>
        <v>5</v>
      </c>
      <c r="E51" s="5" t="s">
        <v>100</v>
      </c>
      <c r="F51" s="7" t="n">
        <f aca="false">INDEX(Sheet1!$F$6:$F$29,MATCH($B51,Sheet1!$A$6:$A$29,0))</f>
        <v>1</v>
      </c>
    </row>
    <row r="52" customFormat="false" ht="33.75" hidden="false" customHeight="true" outlineLevel="0" collapsed="false">
      <c r="A52" s="7" t="n">
        <v>9</v>
      </c>
      <c r="B52" s="5" t="s">
        <v>32</v>
      </c>
      <c r="C52" s="7" t="n">
        <f aca="false">INDEX(Sheet1!$H$6:$H$29,MATCH($B52,Sheet1!$A$6:$A$29,0))</f>
        <v>2</v>
      </c>
      <c r="D52" s="7" t="n">
        <f aca="false">INDEX(Sheet1!$G$6:$G$29,MATCH($B52,Sheet1!$A$6:$A$29,0))</f>
        <v>3</v>
      </c>
      <c r="E52" s="5" t="s">
        <v>101</v>
      </c>
      <c r="F52" s="7" t="n">
        <f aca="false">INDEX(Sheet1!$F$6:$F$29,MATCH($B52,Sheet1!$A$6:$A$29,0))</f>
        <v>1</v>
      </c>
    </row>
    <row r="53" customFormat="false" ht="33.75" hidden="false" customHeight="true" outlineLevel="0" collapsed="false">
      <c r="A53" s="7" t="n">
        <v>10</v>
      </c>
      <c r="B53" s="5" t="s">
        <v>35</v>
      </c>
      <c r="C53" s="7" t="n">
        <f aca="false">INDEX(Sheet1!$H$6:$H$29,MATCH($B53,Sheet1!$A$6:$A$29,0))</f>
        <v>2</v>
      </c>
      <c r="D53" s="7" t="n">
        <f aca="false">INDEX(Sheet1!$G$6:$G$29,MATCH($B53,Sheet1!$A$6:$A$29,0))</f>
        <v>3</v>
      </c>
      <c r="E53" s="5" t="s">
        <v>102</v>
      </c>
      <c r="F53" s="7" t="n">
        <f aca="false">INDEX(Sheet1!$F$6:$F$29,MATCH($B53,Sheet1!$A$6:$A$29,0))</f>
        <v>1</v>
      </c>
    </row>
    <row r="54" customFormat="false" ht="33.75" hidden="false" customHeight="true" outlineLevel="0" collapsed="false">
      <c r="A54" s="7" t="n">
        <v>11</v>
      </c>
      <c r="B54" s="5" t="s">
        <v>17</v>
      </c>
      <c r="C54" s="7" t="n">
        <f aca="false">INDEX(Sheet1!$H$6:$H$29,MATCH($B54,Sheet1!$A$6:$A$29,0))</f>
        <v>3</v>
      </c>
      <c r="D54" s="7" t="n">
        <f aca="false">INDEX(Sheet1!$G$6:$G$29,MATCH($B54,Sheet1!$A$6:$A$29,0))</f>
        <v>8</v>
      </c>
      <c r="E54" s="5" t="s">
        <v>103</v>
      </c>
      <c r="F54" s="7" t="n">
        <f aca="false">INDEX(Sheet1!$F$6:$F$29,MATCH($B54,Sheet1!$A$6:$A$29,0))</f>
        <v>2</v>
      </c>
    </row>
    <row r="55" customFormat="false" ht="33.75" hidden="false" customHeight="true" outlineLevel="0" collapsed="false">
      <c r="A55" s="7" t="n">
        <v>12</v>
      </c>
      <c r="B55" s="5" t="s">
        <v>20</v>
      </c>
      <c r="C55" s="7" t="n">
        <f aca="false">INDEX(Sheet1!$H$6:$H$29,MATCH($B55,Sheet1!$A$6:$A$29,0))</f>
        <v>3</v>
      </c>
      <c r="D55" s="7" t="n">
        <f aca="false">INDEX(Sheet1!$G$6:$G$29,MATCH($B55,Sheet1!$A$6:$A$29,0))</f>
        <v>3</v>
      </c>
      <c r="E55" s="5" t="s">
        <v>104</v>
      </c>
      <c r="F55" s="7" t="n">
        <f aca="false">INDEX(Sheet1!$F$6:$F$29,MATCH($B55,Sheet1!$A$6:$A$29,0))</f>
        <v>2</v>
      </c>
    </row>
    <row r="56" customFormat="false" ht="33.75" hidden="false" customHeight="true" outlineLevel="0" collapsed="false">
      <c r="A56" s="7" t="n">
        <v>13</v>
      </c>
      <c r="B56" s="5" t="s">
        <v>21</v>
      </c>
      <c r="C56" s="7" t="n">
        <f aca="false">INDEX(Sheet1!$H$6:$H$29,MATCH($B56,Sheet1!$A$6:$A$29,0))</f>
        <v>3</v>
      </c>
      <c r="D56" s="7" t="n">
        <f aca="false">INDEX(Sheet1!$G$6:$G$29,MATCH($B56,Sheet1!$A$6:$A$29,0))</f>
        <v>8</v>
      </c>
      <c r="E56" s="5" t="s">
        <v>105</v>
      </c>
      <c r="F56" s="7" t="n">
        <f aca="false">INDEX(Sheet1!$F$6:$F$29,MATCH($B56,Sheet1!$A$6:$A$29,0))</f>
        <v>2</v>
      </c>
    </row>
    <row r="57" customFormat="false" ht="33.75" hidden="false" customHeight="true" outlineLevel="0" collapsed="false">
      <c r="A57" s="7" t="n">
        <v>14</v>
      </c>
      <c r="B57" s="5" t="s">
        <v>24</v>
      </c>
      <c r="C57" s="7" t="n">
        <f aca="false">INDEX(Sheet1!$H$6:$H$29,MATCH($B57,Sheet1!$A$6:$A$29,0))</f>
        <v>3</v>
      </c>
      <c r="D57" s="7" t="n">
        <f aca="false">INDEX(Sheet1!$G$6:$G$29,MATCH($B57,Sheet1!$A$6:$A$29,0))</f>
        <v>5</v>
      </c>
      <c r="E57" s="5" t="s">
        <v>106</v>
      </c>
      <c r="F57" s="7" t="n">
        <f aca="false">INDEX(Sheet1!$F$6:$F$29,MATCH($B57,Sheet1!$A$6:$A$29,0))</f>
        <v>2</v>
      </c>
    </row>
    <row r="58" customFormat="false" ht="33.75" hidden="false" customHeight="true" outlineLevel="0" collapsed="false">
      <c r="A58" s="7" t="n">
        <v>15</v>
      </c>
      <c r="B58" s="5" t="s">
        <v>31</v>
      </c>
      <c r="C58" s="7" t="n">
        <f aca="false">INDEX(Sheet1!$H$6:$H$29,MATCH($B58,Sheet1!$A$6:$A$29,0))</f>
        <v>3</v>
      </c>
      <c r="D58" s="7" t="n">
        <f aca="false">INDEX(Sheet1!$G$6:$G$29,MATCH($B58,Sheet1!$A$6:$A$29,0))</f>
        <v>5</v>
      </c>
      <c r="E58" s="5" t="s">
        <v>107</v>
      </c>
      <c r="F58" s="7" t="n">
        <f aca="false">INDEX(Sheet1!$F$6:$F$29,MATCH($B58,Sheet1!$A$6:$A$29,0))</f>
        <v>2</v>
      </c>
    </row>
    <row r="59" customFormat="false" ht="33.75" hidden="false" customHeight="true" outlineLevel="0" collapsed="false">
      <c r="A59" s="7" t="n">
        <v>16</v>
      </c>
      <c r="B59" s="5" t="s">
        <v>36</v>
      </c>
      <c r="C59" s="7" t="n">
        <f aca="false">INDEX(Sheet1!$H$6:$H$29,MATCH($B59,Sheet1!$A$6:$A$29,0))</f>
        <v>3</v>
      </c>
      <c r="D59" s="7" t="n">
        <f aca="false">INDEX(Sheet1!$G$6:$G$29,MATCH($B59,Sheet1!$A$6:$A$29,0))</f>
        <v>2</v>
      </c>
      <c r="E59" s="5" t="s">
        <v>108</v>
      </c>
      <c r="F59" s="7" t="n">
        <f aca="false">INDEX(Sheet1!$F$6:$F$29,MATCH($B59,Sheet1!$A$6:$A$29,0))</f>
        <v>2</v>
      </c>
    </row>
    <row r="60" customFormat="false" ht="33.75" hidden="false" customHeight="true" outlineLevel="0" collapsed="false">
      <c r="A60" s="7" t="n">
        <v>17</v>
      </c>
      <c r="B60" s="5" t="s">
        <v>27</v>
      </c>
      <c r="C60" s="7" t="n">
        <f aca="false">INDEX(Sheet1!$H$6:$H$29,MATCH($B60,Sheet1!$A$6:$A$29,0))</f>
        <v>4</v>
      </c>
      <c r="D60" s="7" t="n">
        <f aca="false">INDEX(Sheet1!$G$6:$G$29,MATCH($B60,Sheet1!$A$6:$A$29,0))</f>
        <v>5</v>
      </c>
      <c r="E60" s="5" t="s">
        <v>109</v>
      </c>
      <c r="F60" s="7" t="n">
        <f aca="false">INDEX(Sheet1!$F$6:$F$29,MATCH($B60,Sheet1!$A$6:$A$29,0))</f>
        <v>3</v>
      </c>
    </row>
    <row r="61" customFormat="false" ht="33.75" hidden="false" customHeight="true" outlineLevel="0" collapsed="false">
      <c r="A61" s="7" t="n">
        <v>18</v>
      </c>
      <c r="B61" s="5" t="s">
        <v>15</v>
      </c>
      <c r="C61" s="7" t="n">
        <f aca="false">INDEX(Sheet1!$H$6:$H$29,MATCH($B61,Sheet1!$A$6:$A$29,0))</f>
        <v>4</v>
      </c>
      <c r="D61" s="7" t="n">
        <f aca="false">INDEX(Sheet1!$G$6:$G$29,MATCH($B61,Sheet1!$A$6:$A$29,0))</f>
        <v>8</v>
      </c>
      <c r="E61" s="5" t="s">
        <v>110</v>
      </c>
      <c r="F61" s="7" t="n">
        <f aca="false">INDEX(Sheet1!$F$6:$F$29,MATCH($B61,Sheet1!$A$6:$A$29,0))</f>
        <v>3</v>
      </c>
    </row>
    <row r="62" customFormat="false" ht="33.75" hidden="false" customHeight="true" outlineLevel="0" collapsed="false">
      <c r="A62" s="7" t="n">
        <v>19</v>
      </c>
      <c r="B62" s="5" t="s">
        <v>16</v>
      </c>
      <c r="C62" s="7" t="n">
        <f aca="false">INDEX(Sheet1!$H$6:$H$29,MATCH($B62,Sheet1!$A$6:$A$29,0))</f>
        <v>4</v>
      </c>
      <c r="D62" s="7" t="n">
        <f aca="false">INDEX(Sheet1!$G$6:$G$29,MATCH($B62,Sheet1!$A$6:$A$29,0))</f>
        <v>8</v>
      </c>
      <c r="E62" s="5" t="s">
        <v>111</v>
      </c>
      <c r="F62" s="7" t="n">
        <f aca="false">INDEX(Sheet1!$F$6:$F$29,MATCH($B62,Sheet1!$A$6:$A$29,0))</f>
        <v>3</v>
      </c>
    </row>
    <row r="63" customFormat="false" ht="33.75" hidden="false" customHeight="true" outlineLevel="0" collapsed="false">
      <c r="A63" s="7" t="n">
        <v>20</v>
      </c>
      <c r="B63" s="5" t="s">
        <v>23</v>
      </c>
      <c r="C63" s="7" t="n">
        <f aca="false">INDEX(Sheet1!$H$6:$H$29,MATCH($B63,Sheet1!$A$6:$A$29,0))</f>
        <v>4</v>
      </c>
      <c r="D63" s="7" t="n">
        <f aca="false">INDEX(Sheet1!$G$6:$G$29,MATCH($B63,Sheet1!$A$6:$A$29,0))</f>
        <v>8</v>
      </c>
      <c r="E63" s="5" t="s">
        <v>112</v>
      </c>
      <c r="F63" s="7" t="n">
        <f aca="false">INDEX(Sheet1!$F$6:$F$29,MATCH($B63,Sheet1!$A$6:$A$29,0))</f>
        <v>3</v>
      </c>
    </row>
    <row r="64" customFormat="false" ht="33.75" hidden="false" customHeight="true" outlineLevel="0" collapsed="false">
      <c r="A64" s="7" t="n">
        <v>21</v>
      </c>
      <c r="B64" s="5" t="s">
        <v>22</v>
      </c>
      <c r="C64" s="7" t="n">
        <f aca="false">INDEX(Sheet1!$H$6:$H$29,MATCH($B64,Sheet1!$A$6:$A$29,0))</f>
        <v>5</v>
      </c>
      <c r="D64" s="7" t="n">
        <f aca="false">INDEX(Sheet1!$G$6:$G$29,MATCH($B64,Sheet1!$A$6:$A$29,0))</f>
        <v>5</v>
      </c>
      <c r="E64" s="5" t="s">
        <v>113</v>
      </c>
      <c r="F64" s="7" t="n">
        <f aca="false">INDEX(Sheet1!$F$6:$F$29,MATCH($B64,Sheet1!$A$6:$A$29,0))</f>
        <v>3</v>
      </c>
    </row>
    <row r="65" customFormat="false" ht="33.75" hidden="false" customHeight="true" outlineLevel="0" collapsed="false">
      <c r="A65" s="7" t="n">
        <v>22</v>
      </c>
      <c r="B65" s="5" t="s">
        <v>33</v>
      </c>
      <c r="C65" s="7" t="n">
        <f aca="false">INDEX(Sheet1!$H$6:$H$29,MATCH($B65,Sheet1!$A$6:$A$29,0))</f>
        <v>5</v>
      </c>
      <c r="D65" s="7" t="n">
        <f aca="false">INDEX(Sheet1!$G$6:$G$29,MATCH($B65,Sheet1!$A$6:$A$29,0))</f>
        <v>13</v>
      </c>
      <c r="E65" s="5" t="s">
        <v>114</v>
      </c>
      <c r="F65" s="7" t="n">
        <f aca="false">INDEX(Sheet1!$F$6:$F$29,MATCH($B65,Sheet1!$A$6:$A$29,0))</f>
        <v>3</v>
      </c>
    </row>
    <row r="66" customFormat="false" ht="33.75" hidden="false" customHeight="true" outlineLevel="0" collapsed="false">
      <c r="A66" s="7" t="n">
        <v>23</v>
      </c>
      <c r="B66" s="5" t="s">
        <v>34</v>
      </c>
      <c r="C66" s="7" t="n">
        <f aca="false">INDEX(Sheet1!$H$6:$H$29,MATCH($B66,Sheet1!$A$6:$A$29,0))</f>
        <v>5</v>
      </c>
      <c r="D66" s="7" t="n">
        <f aca="false">INDEX(Sheet1!$G$6:$G$29,MATCH($B66,Sheet1!$A$6:$A$29,0))</f>
        <v>5</v>
      </c>
      <c r="E66" s="5" t="s">
        <v>115</v>
      </c>
      <c r="F66" s="7" t="n">
        <f aca="false">INDEX(Sheet1!$F$6:$F$29,MATCH($B66,Sheet1!$A$6:$A$29,0))</f>
        <v>3</v>
      </c>
    </row>
    <row r="67" customFormat="false" ht="33.75" hidden="false" customHeight="true" outlineLevel="0" collapsed="false">
      <c r="A67" s="7" t="n">
        <v>24</v>
      </c>
      <c r="B67" s="5" t="s">
        <v>37</v>
      </c>
      <c r="C67" s="7" t="n">
        <f aca="false">INDEX(Sheet1!$H$6:$H$29,MATCH($B67,Sheet1!$A$6:$A$29,0))</f>
        <v>5</v>
      </c>
      <c r="D67" s="7" t="n">
        <f aca="false">INDEX(Sheet1!$G$6:$G$29,MATCH($B67,Sheet1!$A$6:$A$29,0))</f>
        <v>5</v>
      </c>
      <c r="E67" s="5" t="s">
        <v>116</v>
      </c>
      <c r="F67" s="7" t="n">
        <f aca="false">INDEX(Sheet1!$F$6:$F$29,MATCH($B67,Sheet1!$A$6:$A$29,0))</f>
        <v>3</v>
      </c>
    </row>
    <row r="69" customFormat="false" ht="19.5" hidden="false" customHeight="true" outlineLevel="0" collapsed="false">
      <c r="A69" s="14" t="s">
        <v>117</v>
      </c>
    </row>
    <row r="70" customFormat="false" ht="18" hidden="false" customHeight="true" outlineLevel="0" collapsed="false">
      <c r="A70" s="15" t="s">
        <v>11</v>
      </c>
      <c r="B70" s="15" t="s">
        <v>9</v>
      </c>
      <c r="C70" s="15" t="s">
        <v>4</v>
      </c>
      <c r="D70" s="15" t="s">
        <v>77</v>
      </c>
      <c r="E70" s="15" t="s">
        <v>118</v>
      </c>
      <c r="F70" s="18"/>
    </row>
    <row r="71" customFormat="false" ht="18" hidden="false" customHeight="true" outlineLevel="0" collapsed="false">
      <c r="A71" s="7" t="n">
        <v>1</v>
      </c>
      <c r="B71" s="7" t="n">
        <f aca="false">INDEX(Sheet1!$F$6:$F$29,MATCH(A71,Sheet1!$H$6:$H$29,0))</f>
        <v>1</v>
      </c>
      <c r="C71" s="7" t="n">
        <f aca="false">COUNTIF(Sheet1!$H$6:$H$29,A71)</f>
        <v>4</v>
      </c>
      <c r="D71" s="7" t="n">
        <f aca="false">SUMIFS(Sheet1!$G$6:$G$29,Sheet1!$H$6:$H$29,A71)</f>
        <v>29</v>
      </c>
      <c r="E71" s="19" t="n">
        <f aca="false">D71/$D$6</f>
        <v>0.966666666666667</v>
      </c>
    </row>
    <row r="72" customFormat="false" ht="18" hidden="false" customHeight="true" outlineLevel="0" collapsed="false">
      <c r="A72" s="7" t="n">
        <v>2</v>
      </c>
      <c r="B72" s="7" t="n">
        <f aca="false">INDEX(Sheet1!$F$6:$F$29,MATCH(A72,Sheet1!$H$6:$H$29,0))</f>
        <v>1</v>
      </c>
      <c r="C72" s="7" t="n">
        <f aca="false">COUNTIF(Sheet1!$H$6:$H$29,A72)</f>
        <v>6</v>
      </c>
      <c r="D72" s="7" t="n">
        <f aca="false">SUMIFS(Sheet1!$G$6:$G$29,Sheet1!$H$6:$H$29,A72)</f>
        <v>24</v>
      </c>
      <c r="E72" s="19" t="n">
        <f aca="false">D72/$D$6</f>
        <v>0.8</v>
      </c>
    </row>
    <row r="73" customFormat="false" ht="18" hidden="false" customHeight="true" outlineLevel="0" collapsed="false">
      <c r="A73" s="7" t="n">
        <v>3</v>
      </c>
      <c r="B73" s="7" t="n">
        <f aca="false">INDEX(Sheet1!$F$6:$F$29,MATCH(A73,Sheet1!$H$6:$H$29,0))</f>
        <v>2</v>
      </c>
      <c r="C73" s="7" t="n">
        <f aca="false">COUNTIF(Sheet1!$H$6:$H$29,A73)</f>
        <v>6</v>
      </c>
      <c r="D73" s="7" t="n">
        <f aca="false">SUMIFS(Sheet1!$G$6:$G$29,Sheet1!$H$6:$H$29,A73)</f>
        <v>31</v>
      </c>
      <c r="E73" s="19" t="n">
        <f aca="false">D73/$D$6</f>
        <v>1.03333333333333</v>
      </c>
    </row>
    <row r="74" customFormat="false" ht="18" hidden="false" customHeight="true" outlineLevel="0" collapsed="false">
      <c r="A74" s="7" t="n">
        <v>4</v>
      </c>
      <c r="B74" s="7" t="n">
        <f aca="false">INDEX(Sheet1!$F$6:$F$29,MATCH(A74,Sheet1!$H$6:$H$29,0))</f>
        <v>3</v>
      </c>
      <c r="C74" s="7" t="n">
        <f aca="false">COUNTIF(Sheet1!$H$6:$H$29,A74)</f>
        <v>4</v>
      </c>
      <c r="D74" s="7" t="n">
        <f aca="false">SUMIFS(Sheet1!$G$6:$G$29,Sheet1!$H$6:$H$29,A74)</f>
        <v>29</v>
      </c>
      <c r="E74" s="19" t="n">
        <f aca="false">D74/$D$6</f>
        <v>0.966666666666667</v>
      </c>
    </row>
    <row r="75" customFormat="false" ht="18" hidden="false" customHeight="true" outlineLevel="0" collapsed="false">
      <c r="A75" s="7" t="n">
        <v>5</v>
      </c>
      <c r="B75" s="7" t="n">
        <f aca="false">INDEX(Sheet1!$F$6:$F$29,MATCH(A75,Sheet1!$H$6:$H$29,0))</f>
        <v>3</v>
      </c>
      <c r="C75" s="7" t="n">
        <f aca="false">COUNTIF(Sheet1!$H$6:$H$29,A75)</f>
        <v>4</v>
      </c>
      <c r="D75" s="7" t="n">
        <f aca="false">SUMIFS(Sheet1!$G$6:$G$29,Sheet1!$H$6:$H$29,A75)</f>
        <v>28</v>
      </c>
      <c r="E75" s="19" t="n">
        <f aca="false">D75/$D$6</f>
        <v>0.933333333333333</v>
      </c>
    </row>
    <row r="76" customFormat="false" ht="18" hidden="false" customHeight="true" outlineLevel="0" collapsed="false">
      <c r="A76" s="17" t="s">
        <v>119</v>
      </c>
      <c r="B76" s="5"/>
      <c r="C76" s="17" t="n">
        <f aca="false">SUM(C71:C75)</f>
        <v>24</v>
      </c>
      <c r="D76" s="17" t="n">
        <f aca="false">SUM(D71:D75)</f>
        <v>141</v>
      </c>
      <c r="E76" s="5"/>
    </row>
    <row r="78" customFormat="false" ht="33.75" hidden="false" customHeight="true" outlineLevel="0" collapsed="false">
      <c r="A78" s="15" t="s">
        <v>9</v>
      </c>
      <c r="B78" s="15" t="s">
        <v>120</v>
      </c>
      <c r="C78" s="15" t="s">
        <v>4</v>
      </c>
      <c r="D78" s="15" t="s">
        <v>77</v>
      </c>
      <c r="E78" s="15" t="s">
        <v>121</v>
      </c>
      <c r="F78" s="18"/>
    </row>
    <row r="79" customFormat="false" ht="18" hidden="false" customHeight="true" outlineLevel="0" collapsed="false">
      <c r="A79" s="7" t="n">
        <v>1</v>
      </c>
      <c r="B79" s="5" t="s">
        <v>122</v>
      </c>
      <c r="C79" s="7" t="n">
        <f aca="false">COUNTIF(Sheet1!$F$6:$F$29,A79)</f>
        <v>10</v>
      </c>
      <c r="D79" s="7" t="n">
        <f aca="false">SUMIFS(Sheet1!$G$6:$G$29,Sheet1!$F$6:$F$29,A79)</f>
        <v>53</v>
      </c>
      <c r="E79" s="7" t="s">
        <v>123</v>
      </c>
    </row>
    <row r="80" customFormat="false" ht="18" hidden="false" customHeight="true" outlineLevel="0" collapsed="false">
      <c r="A80" s="7" t="n">
        <v>2</v>
      </c>
      <c r="B80" s="5" t="s">
        <v>124</v>
      </c>
      <c r="C80" s="7" t="n">
        <f aca="false">COUNTIF(Sheet1!$F$6:$F$29,A80)</f>
        <v>6</v>
      </c>
      <c r="D80" s="7" t="n">
        <f aca="false">SUMIFS(Sheet1!$G$6:$G$29,Sheet1!$F$6:$F$29,A80)</f>
        <v>31</v>
      </c>
      <c r="E80" s="7" t="s">
        <v>125</v>
      </c>
    </row>
    <row r="81" customFormat="false" ht="18" hidden="false" customHeight="true" outlineLevel="0" collapsed="false">
      <c r="A81" s="7" t="n">
        <v>3</v>
      </c>
      <c r="B81" s="5" t="s">
        <v>126</v>
      </c>
      <c r="C81" s="7" t="n">
        <f aca="false">COUNTIF(Sheet1!$F$6:$F$29,A81)</f>
        <v>8</v>
      </c>
      <c r="D81" s="7" t="n">
        <f aca="false">SUMIFS(Sheet1!$G$6:$G$29,Sheet1!$F$6:$F$29,A81)</f>
        <v>57</v>
      </c>
      <c r="E81" s="7" t="s">
        <v>127</v>
      </c>
    </row>
    <row r="82" customFormat="false" ht="18" hidden="false" customHeight="true" outlineLevel="0" collapsed="false">
      <c r="A82" s="17" t="s">
        <v>119</v>
      </c>
      <c r="B82" s="5"/>
      <c r="C82" s="17" t="n">
        <f aca="false">SUM(C79:C81)</f>
        <v>24</v>
      </c>
      <c r="D82" s="17" t="n">
        <f aca="false">SUM(D79:D81)</f>
        <v>141</v>
      </c>
      <c r="E82" s="5"/>
    </row>
  </sheetData>
  <mergeCells count="5">
    <mergeCell ref="A2:F2"/>
    <mergeCell ref="A3:F3"/>
    <mergeCell ref="A4:F4"/>
    <mergeCell ref="A5:F5"/>
    <mergeCell ref="A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2026-10-07T22:33:11Z</dcterms:created>
  <dc:creator>openpyxl</dc:creator>
  <dc:description/>
  <dc:language>en-US</dc:language>
  <cp:lastModifiedBy>Laerte Jose</cp:lastModifiedBy>
  <dcterms:modified xsi:type="dcterms:W3CDTF">2026-10-19T23:09:43Z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